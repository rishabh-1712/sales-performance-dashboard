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Dell\OneDrive\Desktop\"/>
    </mc:Choice>
  </mc:AlternateContent>
  <xr:revisionPtr revIDLastSave="0" documentId="13_ncr:1_{D608F098-4036-4B81-8B20-9CCE8DDDB4AB}" xr6:coauthVersionLast="47" xr6:coauthVersionMax="47" xr10:uidLastSave="{00000000-0000-0000-0000-000000000000}"/>
  <bookViews>
    <workbookView xWindow="-90" yWindow="0" windowWidth="9780" windowHeight="10170" tabRatio="843" firstSheet="12" activeTab="17" xr2:uid="{00000000-000D-0000-FFFF-FFFF00000000}"/>
  </bookViews>
  <sheets>
    <sheet name="Start Here" sheetId="1" r:id="rId1"/>
    <sheet name="Cheat Sheet" sheetId="2" r:id="rId2"/>
    <sheet name="Employee_Master" sheetId="3" r:id="rId3"/>
    <sheet name="Pivot1_Region" sheetId="13" r:id="rId4"/>
    <sheet name="Pivot2_Product" sheetId="14" r:id="rId5"/>
    <sheet name="Pivot3_RegionCategory" sheetId="15" r:id="rId6"/>
    <sheet name="Pivot4_MonthlyTrend" sheetId="16" r:id="rId7"/>
    <sheet name="Pivot5_EmployeePerformance" sheetId="17" r:id="rId8"/>
    <sheet name="Sales_Data" sheetId="4" r:id="rId9"/>
    <sheet name="Day1_Basics" sheetId="5" r:id="rId10"/>
    <sheet name="Day1_Answers" sheetId="6" r:id="rId11"/>
    <sheet name="Day2_Logical_Lookup" sheetId="7" r:id="rId12"/>
    <sheet name="Day2_Answers" sheetId="8" r:id="rId13"/>
    <sheet name="Day3_Text_Date" sheetId="9" r:id="rId14"/>
    <sheet name="Day3_Answers" sheetId="10" r:id="rId15"/>
    <sheet name="Day4_PivotTable" sheetId="11" r:id="rId16"/>
    <sheet name="Day5_Dashboard_Project" sheetId="12" r:id="rId17"/>
    <sheet name="Dashboard" sheetId="18" r:id="rId18"/>
  </sheets>
  <definedNames>
    <definedName name="_xlnm._FilterDatabase" localSheetId="8" hidden="1">Sales_Data!$A$3:$J$3</definedName>
    <definedName name="Slicer_Region">#N/A</definedName>
  </definedNames>
  <calcPr calcId="191029" iterateDelta="1E-4"/>
  <pivotCaches>
    <pivotCache cacheId="0" r:id="rId19"/>
  </pivotCaches>
  <extLs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6" i="18" l="1"/>
  <c r="C25" i="18"/>
  <c r="H3" i="18"/>
  <c r="F3" i="18"/>
  <c r="D3" i="18"/>
  <c r="B3" i="18"/>
  <c r="B25" i="5"/>
  <c r="B24" i="5"/>
  <c r="B23" i="5"/>
  <c r="B22" i="5"/>
  <c r="B21" i="5"/>
  <c r="B20" i="5"/>
  <c r="B22" i="9"/>
  <c r="B21" i="9"/>
  <c r="B20" i="9"/>
  <c r="B19" i="9"/>
  <c r="B18" i="9"/>
  <c r="B30" i="7"/>
  <c r="B29" i="7"/>
  <c r="B28" i="7"/>
  <c r="B26" i="7"/>
  <c r="B25" i="7"/>
  <c r="B24" i="7"/>
  <c r="B23" i="7"/>
  <c r="S1" i="4"/>
  <c r="R1" i="4"/>
  <c r="Q1" i="4"/>
  <c r="P1" i="4"/>
  <c r="S4" i="4"/>
  <c r="R4" i="4"/>
  <c r="Q4" i="4"/>
  <c r="P4" i="4"/>
  <c r="O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4" i="4"/>
  <c r="B7" i="10"/>
  <c r="B6" i="10"/>
  <c r="B5" i="10"/>
  <c r="B4" i="10"/>
  <c r="B3" i="10"/>
  <c r="B11" i="8"/>
  <c r="B10" i="8"/>
  <c r="B9" i="8"/>
  <c r="B7" i="8"/>
  <c r="B6" i="8"/>
  <c r="B5" i="8"/>
  <c r="B4" i="8"/>
  <c r="B8" i="6"/>
  <c r="B7" i="6"/>
  <c r="B6" i="6"/>
  <c r="B5" i="6"/>
  <c r="B4" i="6"/>
  <c r="B3" i="6"/>
  <c r="B3" i="8" s="1"/>
  <c r="B22" i="7" l="1"/>
</calcChain>
</file>

<file path=xl/sharedStrings.xml><?xml version="1.0" encoding="utf-8"?>
<sst xmlns="http://schemas.openxmlformats.org/spreadsheetml/2006/main" count="1427" uniqueCount="443">
  <si>
    <t>Excel 0 se Advanced - 5 Din Practice Plan</t>
  </si>
  <si>
    <t>Kaise use karein ye file:</t>
  </si>
  <si>
    <t>1. Har din ka apna sheet hai (Day1, Day2, Day3, Day4, Day5).</t>
  </si>
  <si>
    <t>2. Har sheet mein PEELE (yellow) box mein tasks likhe hain - wahi tumhe khud solve karna hai.</t>
  </si>
  <si>
    <t>3. Answer sheet alag hai (jaise Day1_Answers) - PEHLE khud try karo, phir answer sheet se check karo.</t>
  </si>
  <si>
    <t>4. Ek din mein 6-8 ghante lag sakte hain agar tum genuinely practice karo - jaldi mat karo, samajh ke karo.</t>
  </si>
  <si>
    <t>5. Har formula khud type karo - copy-paste mat karo, muscle memory banegi tabhi interview mein bol paoge.</t>
  </si>
  <si>
    <t>Roadmap:</t>
  </si>
  <si>
    <t>Day 1 -&gt; Basics: SUM, AVERAGE, COUNT, Formatting, Sorting, Filtering</t>
  </si>
  <si>
    <t>Day 2 -&gt; Logical + Lookup: IF, COUNTIF, SUMIF, VLOOKUP, INDEX-MATCH</t>
  </si>
  <si>
    <t>Day 3 -&gt; Text + Date functions, Data Validation, Conditional Formatting</t>
  </si>
  <si>
    <t>Day 4 -&gt; Pivot Tables (ye sabse zyada interview mein pucha jata hai)</t>
  </si>
  <si>
    <t>Day 5 -&gt; Mini Dashboard Project (ye tumhara resume project banega)</t>
  </si>
  <si>
    <t>Sheet 'Cheat Sheet' mein saare formulas ek jagah likhe hain reference ke liye.</t>
  </si>
  <si>
    <t>Sheet 'Employee_Master' aur 'Sales_Data' - ye tumhara practice data hai, sab exercises isi pe based hain.</t>
  </si>
  <si>
    <t>Formula Cheat Sheet - Quick Reference</t>
  </si>
  <si>
    <t>Formula / Shortcut</t>
  </si>
  <si>
    <t>Iska matlab / kaam</t>
  </si>
  <si>
    <t>=SUM(range)</t>
  </si>
  <si>
    <t>Sabka total nikalta hai</t>
  </si>
  <si>
    <t>=AVERAGE(range)</t>
  </si>
  <si>
    <t>Average nikalta hai</t>
  </si>
  <si>
    <t>=COUNT(range)</t>
  </si>
  <si>
    <t>Kitne numbers hain, count karta hai</t>
  </si>
  <si>
    <t>=COUNTA(range)</t>
  </si>
  <si>
    <t>Kitne non-empty cells hain, count karta hai</t>
  </si>
  <si>
    <t>=MAX(range) / =MIN(range)</t>
  </si>
  <si>
    <t>Sabse bada / sabse chota value</t>
  </si>
  <si>
    <t>=IF(condition, true_val, false_val)</t>
  </si>
  <si>
    <t>Condition check karke value deta hai</t>
  </si>
  <si>
    <t>=COUNTIF(range, criteria)</t>
  </si>
  <si>
    <t>Ek condition ke hisab se count karta hai</t>
  </si>
  <si>
    <t>=SUMIF(range, criteria, sum_range)</t>
  </si>
  <si>
    <t>Ek condition ke hisab se sum karta hai</t>
  </si>
  <si>
    <t>=COUNTIFS(range1,crit1,range2,crit2...)</t>
  </si>
  <si>
    <t>Multiple conditions se count karta hai</t>
  </si>
  <si>
    <t>=SUMIFS(sum_range,range1,crit1,...)</t>
  </si>
  <si>
    <t>Multiple conditions se sum karta hai</t>
  </si>
  <si>
    <t>=VLOOKUP(value,table,col_index,FALSE)</t>
  </si>
  <si>
    <t>Table mein value dhundh ke uske saath ka data laata hai</t>
  </si>
  <si>
    <t>=INDEX(range,MATCH(value,lookup_range,0))</t>
  </si>
  <si>
    <t>VLOOKUP se better - kisi bhi direction mein lookup karta hai</t>
  </si>
  <si>
    <t>=LEFT(text,n) / =RIGHT(text,n)</t>
  </si>
  <si>
    <t>Text ke shuru/end se n characters nikalta hai</t>
  </si>
  <si>
    <t>=MID(text,start,n)</t>
  </si>
  <si>
    <t>Text ke beech se characters nikalta hai</t>
  </si>
  <si>
    <t>=TRIM(text)</t>
  </si>
  <si>
    <t>Extra spaces hata deta hai</t>
  </si>
  <si>
    <t>=CONCATENATE(a,b) ya a&amp;b</t>
  </si>
  <si>
    <t>Do text ko jodta hai</t>
  </si>
  <si>
    <t>=TODAY()</t>
  </si>
  <si>
    <t>Aaj ki date deta hai</t>
  </si>
  <si>
    <t>=DATEDIF(date1,date2,"D")</t>
  </si>
  <si>
    <t>Do dates ke beech ka farak (din/mahine/saal mein)</t>
  </si>
  <si>
    <t>=IFERROR(formula, value_if_error)</t>
  </si>
  <si>
    <t>Agar formula error de to custom message dikhata hai</t>
  </si>
  <si>
    <t>Ctrl + Arrow Key</t>
  </si>
  <si>
    <t>Data ke end tak jump karta hai (shortcut)</t>
  </si>
  <si>
    <t>Ctrl + Shift + L</t>
  </si>
  <si>
    <t>Filter on/off karne ka shortcut</t>
  </si>
  <si>
    <t>Alt + =</t>
  </si>
  <si>
    <t>Quick SUM shortcut</t>
  </si>
  <si>
    <t>F4</t>
  </si>
  <si>
    <t>Cell reference ko absolute ($A$1) banane ka shortcut</t>
  </si>
  <si>
    <t>Employee Master Data (ye tera lookup table hai)</t>
  </si>
  <si>
    <t>EmpID</t>
  </si>
  <si>
    <t>Name</t>
  </si>
  <si>
    <t>Region</t>
  </si>
  <si>
    <t>Department</t>
  </si>
  <si>
    <t>JoinYear</t>
  </si>
  <si>
    <t>Rohit Verma</t>
  </si>
  <si>
    <t>North</t>
  </si>
  <si>
    <t>Support</t>
  </si>
  <si>
    <t>Priya Singh</t>
  </si>
  <si>
    <t>South</t>
  </si>
  <si>
    <t>Sales</t>
  </si>
  <si>
    <t>Aman Joshi</t>
  </si>
  <si>
    <t>Sneha Sharma</t>
  </si>
  <si>
    <t>Vikas Singh</t>
  </si>
  <si>
    <t>Neha Joshi</t>
  </si>
  <si>
    <t>West</t>
  </si>
  <si>
    <t>Karan Reddy</t>
  </si>
  <si>
    <t>East</t>
  </si>
  <si>
    <t>Pooja Patel</t>
  </si>
  <si>
    <t>Marketing</t>
  </si>
  <si>
    <t>Suresh Singh</t>
  </si>
  <si>
    <t>Anjali Patel</t>
  </si>
  <si>
    <t>Rahul Reddy</t>
  </si>
  <si>
    <t>Kavita Joshi</t>
  </si>
  <si>
    <t>Manish Joshi</t>
  </si>
  <si>
    <t>Divya Mishra</t>
  </si>
  <si>
    <t>Ajay Sharma</t>
  </si>
  <si>
    <t>Ritu Singh</t>
  </si>
  <si>
    <t>Sanjay Kumar</t>
  </si>
  <si>
    <t>Meena Mishra</t>
  </si>
  <si>
    <t>Vivek Verma</t>
  </si>
  <si>
    <t>Shalini Gupta</t>
  </si>
  <si>
    <t>Sales Data (ye tera main practice dataset hai - 180 rows)</t>
  </si>
  <si>
    <t>OrderID</t>
  </si>
  <si>
    <t>Date</t>
  </si>
  <si>
    <t>EmpName</t>
  </si>
  <si>
    <t>Product</t>
  </si>
  <si>
    <t>Category</t>
  </si>
  <si>
    <t>Units</t>
  </si>
  <si>
    <t>UnitPrice</t>
  </si>
  <si>
    <t>SalesAmount</t>
  </si>
  <si>
    <t>ORD1001</t>
  </si>
  <si>
    <t>Headphones</t>
  </si>
  <si>
    <t>Accessories</t>
  </si>
  <si>
    <t>ORD1002</t>
  </si>
  <si>
    <t>ORD1003</t>
  </si>
  <si>
    <t>Mouse</t>
  </si>
  <si>
    <t>ORD1004</t>
  </si>
  <si>
    <t>Keyboard</t>
  </si>
  <si>
    <t>ORD1005</t>
  </si>
  <si>
    <t>Printer</t>
  </si>
  <si>
    <t>Electronics</t>
  </si>
  <si>
    <t>ORD1006</t>
  </si>
  <si>
    <t>Monitor</t>
  </si>
  <si>
    <t>ORD1007</t>
  </si>
  <si>
    <t>ORD1008</t>
  </si>
  <si>
    <t>ORD1009</t>
  </si>
  <si>
    <t>Tablet</t>
  </si>
  <si>
    <t>ORD1010</t>
  </si>
  <si>
    <t>Mobile</t>
  </si>
  <si>
    <t>ORD1011</t>
  </si>
  <si>
    <t>ORD1012</t>
  </si>
  <si>
    <t>ORD1013</t>
  </si>
  <si>
    <t>ORD1014</t>
  </si>
  <si>
    <t>ORD1015</t>
  </si>
  <si>
    <t>ORD1016</t>
  </si>
  <si>
    <t>ORD1017</t>
  </si>
  <si>
    <t>Laptop</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</si>
  <si>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</si>
  <si>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</si>
  <si>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</si>
  <si>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</si>
  <si>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</si>
  <si>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</si>
  <si>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</si>
  <si>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</si>
  <si>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</si>
  <si>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</si>
  <si>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</si>
  <si>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</si>
  <si>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</si>
  <si>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</si>
  <si>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</si>
  <si>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</si>
  <si>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</si>
  <si>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</si>
  <si>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</si>
  <si>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</si>
  <si>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</si>
  <si>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</si>
  <si>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</si>
  <si>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</si>
  <si>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</si>
  <si>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</si>
  <si>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</si>
  <si>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</si>
  <si>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</si>
  <si>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</si>
  <si>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</si>
  <si>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</si>
  <si>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</si>
  <si>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</si>
  <si>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</si>
  <si>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</si>
  <si>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</si>
  <si>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</si>
  <si>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</si>
  <si>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</si>
  <si>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</si>
  <si>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</si>
  <si>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</si>
  <si>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</si>
  <si>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</si>
  <si>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</si>
  <si>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</si>
  <si>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</si>
  <si>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</si>
  <si>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</si>
  <si>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</si>
  <si>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</si>
  <si>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</si>
  <si>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</si>
  <si>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</si>
  <si>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</si>
  <si>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</si>
  <si>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</si>
  <si>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</si>
  <si>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</si>
  <si>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</si>
  <si>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</si>
  <si>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</si>
  <si>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</si>
  <si>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</si>
  <si>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</si>
  <si>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</si>
  <si>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</si>
  <si>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</si>
  <si>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</si>
  <si>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</si>
  <si>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</si>
  <si>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</si>
  <si>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</si>
  <si>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</si>
  <si>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</si>
  <si>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</si>
  <si>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</si>
  <si>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</si>
  <si>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</si>
  <si>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</si>
  <si>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</si>
  <si>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</si>
  <si>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</si>
  <si>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</si>
  <si>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</si>
  <si>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</si>
  <si>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</si>
  <si>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</si>
  <si>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</si>
  <si>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</si>
  <si>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</si>
  <si>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</si>
  <si>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</si>
  <si>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</si>
  <si>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</si>
  <si>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</si>
  <si>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</si>
  <si>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</si>
  <si>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</si>
  <si>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</si>
  <si>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</si>
  <si>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</si>
  <si>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</si>
  <si>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</si>
  <si>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</si>
  <si>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</si>
  <si>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</si>
  <si>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</si>
  <si>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</si>
  <si>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</si>
  <si>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</si>
  <si>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</si>
  <si>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</si>
  <si>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</si>
  <si>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</si>
  <si>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</si>
  <si>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</si>
  <si>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</si>
  <si>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</si>
  <si>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</si>
  <si>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</si>
  <si>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</si>
  <si>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</si>
  <si>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</si>
  <si>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</si>
  <si>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</si>
  <si>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</si>
  <si>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</si>
  <si>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</si>
  <si>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</si>
  <si>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</si>
  <si>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</si>
  <si>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</si>
  <si>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</si>
  <si>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</si>
  <si>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</si>
  <si>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</si>
  <si>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</si>
  <si>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</si>
  <si>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</si>
  <si>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</si>
  <si>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</si>
  <si>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</si>
  <si>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</si>
  <si>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</si>
  <si>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</si>
  <si>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</si>
  <si>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</si>
  <si>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</si>
  <si>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</si>
  <si>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</si>
  <si>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</si>
  <si>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</si>
  <si>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</si>
  <si>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</si>
  <si>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</si>
  <si>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</si>
  <si>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</si>
  <si>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</si>
  <si>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</si>
  <si>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</si>
  <si>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</si>
  <si>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DAY 1: Basics - SUM, AVERAGE, COUNT, Formatting, Sort/Filter</t>
  </si>
  <si>
    <t>TASKS (khud solve karo neeche di gayi cells mein - Sales_Data sheet ka data use karo):</t>
  </si>
  <si>
    <t>1. B4 mein: Total Sales Amount nikalo (SUM formula, Sales_Data sheet ke SalesAmount column ka)</t>
  </si>
  <si>
    <t>2. B5 mein: Average Sales Amount nikalo (AVERAGE formula)</t>
  </si>
  <si>
    <t>3. B6 mein: Total kitne orders hain, ye COUNT ya COUNTA se nikalo</t>
  </si>
  <si>
    <t>4. B7 mein: Sabse zyada SalesAmount kaunsa hai (MAX formula)</t>
  </si>
  <si>
    <t>5. B8 mein: Sabse kam SalesAmount kaunsa hai (MIN formula)</t>
  </si>
  <si>
    <t>6. B9 mein: Total Units becha gaya (SUM of Units column)</t>
  </si>
  <si>
    <t>PRACTICE (Sales_Data sheet mein jaake khud karo, yahan mat likho):</t>
  </si>
  <si>
    <t>7. Sales_Data sheet ko SalesAmount ke hisab se Highest to Lowest sort karo</t>
  </si>
  <si>
    <t>8. Sales_Data sheet mein sirf 'Laptop' product ka data Filter karo</t>
  </si>
  <si>
    <t>9. Sales_Data ke SalesAmount column ko currency format do (Rs symbol ke saath)</t>
  </si>
  <si>
    <t>10. Sales_Data ke header row ko bold + color fill do (agar already nahi hai)</t>
  </si>
  <si>
    <t>Total Sales Amount:</t>
  </si>
  <si>
    <t>Average Sales Amount:</t>
  </si>
  <si>
    <t>Total Orders:</t>
  </si>
  <si>
    <t>Max Sale Value:</t>
  </si>
  <si>
    <t>Min Sale Value:</t>
  </si>
  <si>
    <t>Total Units Sold:</t>
  </si>
  <si>
    <t>DAY 1: ANSWER KEY (pehle khud try karna, fir yaha check karna)</t>
  </si>
  <si>
    <t>DAY 2: IF, COUNTIF, SUMIF, VLOOKUP, INDEX-MATCH</t>
  </si>
  <si>
    <t>TASKS (formulas neeche di gayi cells mein likho):</t>
  </si>
  <si>
    <t>1. B4: IF formula - agar Total Sales Amount (Day1_Answers B3) 5000000 se zyada hai to 'Good' warna 'Needs Improvement' likhe</t>
  </si>
  <si>
    <t>2. B5: COUNTIF - Sales_Data mein 'Laptop' kitni baar becha gaya (Product column count karo)</t>
  </si>
  <si>
    <t>3. B6: SUMIF - sirf 'North' region ka total SalesAmount nikalo</t>
  </si>
  <si>
    <t>4. B7: COUNTIFS - 'Electronics' category AND 'North' region wale kitne orders hain</t>
  </si>
  <si>
    <t>5. B8: SUMIFS - 'Mobile' product AND 'South' region ka total sales</t>
  </si>
  <si>
    <t>VLOOKUP / INDEX-MATCH practice - EmpID 1005 ke baare mein pata karo:</t>
  </si>
  <si>
    <t>6. B11: VLOOKUP se EmpID 1005 ka Name nikalo (Employee_Master se)</t>
  </si>
  <si>
    <t>7. B12: VLOOKUP se EmpID 1005 ka Department nikalo</t>
  </si>
  <si>
    <t>8. B13: INDEX-MATCH use karke EmpID 1005 ka Region nikalo (VLOOKUP mat use karna, INDEX-MATCH karna hai)</t>
  </si>
  <si>
    <t>NOTE: Agar formula galat value de (error) toh IFERROR use karke uski jagah 'Not Found' dikhana practice karo</t>
  </si>
  <si>
    <t>Sales Status (IF):</t>
  </si>
  <si>
    <t>Laptop Count (COUNTIF):</t>
  </si>
  <si>
    <t>North Region Sales (SUMIF):</t>
  </si>
  <si>
    <t>Electronics+North Count (COUNTIFS):</t>
  </si>
  <si>
    <t>Mobile+South Sales (SUMIFS):</t>
  </si>
  <si>
    <t>EmpID 1005 Name (VLOOKUP):</t>
  </si>
  <si>
    <t>EmpID 1005 Dept (VLOOKUP):</t>
  </si>
  <si>
    <t>EmpID 1005 Region (INDEX-MATCH):</t>
  </si>
  <si>
    <t>DAY 2: ANSWER KEY</t>
  </si>
  <si>
    <t>DAY 3: Text Functions, Date Functions, Validation, Conditional Formatting</t>
  </si>
  <si>
    <t>TASKS:</t>
  </si>
  <si>
    <t>1. B4: Employee_Master ki pehli row (EmpID 1001) ka Name se sirf FIRST NAME nikalo (LEFT + FIND use karo)</t>
  </si>
  <si>
    <t>2. B5: Us Name ka sirf LAST NAME nikalo (RIGHT + FIND use karo)</t>
  </si>
  <si>
    <t>3. B6: 'Total Employees: ' aur COUNT ko CONCATENATE (ya &amp;) se jodo ek sentence banao</t>
  </si>
  <si>
    <t>4. B7: Sales_Data ke pehle order (row 4) ki Date se sirf MONTH number nikalo (MONTH function)</t>
  </si>
  <si>
    <t>5. B8: Aaj ki date se pehle order ki date tak kitne din hue (DATEDIF ya simple subtraction, TODAY() use karo)</t>
  </si>
  <si>
    <t>DATA VALIDATION (Sales_Data sheet mein jaake karo):</t>
  </si>
  <si>
    <t>6. Ek naya column 'Status' banao Sales_Data mein, usme dropdown list do: Pending, Completed, Cancelled</t>
  </si>
  <si>
    <t>CONDITIONAL FORMATTING (Sales_Data sheet mein karo):</t>
  </si>
  <si>
    <t>7. SalesAmount column mein jo values 50000 se zyada hain unko GREEN highlight karo</t>
  </si>
  <si>
    <t>8. Units column mein jo values 3 se kam hain unko RED highlight karo</t>
  </si>
  <si>
    <t>First Name:</t>
  </si>
  <si>
    <t>Last Name:</t>
  </si>
  <si>
    <t>Sentence (CONCAT):</t>
  </si>
  <si>
    <t>Month Number:</t>
  </si>
  <si>
    <t>Days Since Order:</t>
  </si>
  <si>
    <t>DAY 3: ANSWER KEY</t>
  </si>
  <si>
    <t>Data Validation aur Conditional Formatting Excel software mein practically karne wale kaam hain -</t>
  </si>
  <si>
    <t>in par formula answer nahi hota, ye tumhe khud Sales_Data sheet mein jaake karna hai.</t>
  </si>
  <si>
    <t>Data Validation: Data tab -&gt; Data Validation -&gt; List -&gt; type: Pending,Completed,Cancelled</t>
  </si>
  <si>
    <t>Conditional Formatting: Home tab -&gt; Conditional Formatting -&gt; Highlight Cell Rules -&gt; Greater Than / Less Than</t>
  </si>
  <si>
    <t>DAY 4: Pivot Tables (INTERVIEW mein sabse zyada pucha jata hai)</t>
  </si>
  <si>
    <t>Pivot Table Excel mein hi step-by-step banani hai (Insert -&gt; PivotTable). Yaha 5 practice tasks hain:</t>
  </si>
  <si>
    <t>TASK 1: Region-wise Total Sales</t>
  </si>
  <si>
    <t xml:space="preserve">  - Insert PivotTable -&gt; Data range: Sales_Data sheet ka poora table</t>
  </si>
  <si>
    <t xml:space="preserve">  - Rows: Region | Values: Sum of SalesAmount</t>
  </si>
  <si>
    <t>TASK 2: Product-wise Units Sold</t>
  </si>
  <si>
    <t xml:space="preserve">  - Rows: Product | Values: Sum of Units</t>
  </si>
  <si>
    <t xml:space="preserve">  - Ye descending order mein sort karo (sabse zyada bikne wala product upar)</t>
  </si>
  <si>
    <t>TASK 3: Region x Category Cross-tab</t>
  </si>
  <si>
    <t xml:space="preserve">  - Rows: Region | Columns: Category | Values: Sum of SalesAmount</t>
  </si>
  <si>
    <t xml:space="preserve">  - Ye batayega konsa region konsi category mein strong hai</t>
  </si>
  <si>
    <t>TASK 4: Month-wise Sales Trend</t>
  </si>
  <si>
    <t xml:space="preserve">  - Date column ko Group karo by Month (right-click on date in pivot -&gt; Group -&gt; Months)</t>
  </si>
  <si>
    <t xml:space="preserve">  - Rows: Date (grouped by month) | Values: Sum of SalesAmount</t>
  </si>
  <si>
    <t xml:space="preserve">  - Isse ek Line Chart bhi bana do (Pivot Chart)</t>
  </si>
  <si>
    <t>TASK 5: Employee Performance</t>
  </si>
  <si>
    <t xml:space="preserve">  - Rows: EmpName | Values: Sum of SalesAmount, Count of OrderID</t>
  </si>
  <si>
    <t xml:space="preserve">  - Top 5 employees find karo by sales (Value Filters -&gt; Top 10 -&gt; set to 5)</t>
  </si>
  <si>
    <t>TIP: Har pivot table naye sheet mein banega automatically - unko rename kar dena (Pivot1, Pivot2, etc.)</t>
  </si>
  <si>
    <t>TIP: Interview mein pucha jata hai 'Pivot table kya hota hai' - answer: 'Ye large data ko summarize</t>
  </si>
  <si>
    <t>karne ka tool hai bina formula likhe, drag-drop se rows/columns/values set karke insights nikal sakte hain.'</t>
  </si>
  <si>
    <t>DAY 5: Mini Dashboard Project (YE TERA RESUME PROJECT BANEGA)</t>
  </si>
  <si>
    <t>Aaj sab kuch milake ek Sales Dashboard banana hai. Ye tera resume/interview project banega.</t>
  </si>
  <si>
    <t>STEP 1: Naya sheet banao naam 'Dashboard'</t>
  </si>
  <si>
    <t>STEP 2: 4 KPI boxes banao upar: Total Sales, Total Orders, Total Units, Average Order Value</t>
  </si>
  <si>
    <t xml:space="preserve">  (ye Day1 mein sikhe formulas se banenge - SUM, COUNT, AVERAGE)</t>
  </si>
  <si>
    <t>STEP 3: 3 Pivot Tables se 3 Charts banao aur Dashboard sheet pe laao:</t>
  </si>
  <si>
    <t xml:space="preserve">  - Bar Chart: Region-wise Sales</t>
  </si>
  <si>
    <t xml:space="preserve">  - Pie Chart: Category-wise Sales Split</t>
  </si>
  <si>
    <t xml:space="preserve">  - Line Chart: Month-wise Sales Trend</t>
  </si>
  <si>
    <t>STEP 4: Ek Slicer add karo (Insert -&gt; Slicer) Region ke liye, jisse pura dashboard filter ho sake</t>
  </si>
  <si>
    <t>STEP 5: Colors aur formatting professional rakho - zyada colors mat use karo, 2-3 colors consistent rakho</t>
  </si>
  <si>
    <t>STEP 6: Dashboard ko ek achi heading do: 'Sales Performance Dashboard - 2024'</t>
  </si>
  <si>
    <t>JAB YE BAN JAYE:</t>
  </si>
  <si>
    <t>- Isko apne resume mein 'Projects' section mein add karo</t>
  </si>
  <si>
    <t>- LinkedIn pe screenshot ke saath ek post daalo</t>
  </si>
  <si>
    <t>- Interview mein isko explain karna practice karo: 'Maine 180 sales records ka dashboard banaya,</t>
  </si>
  <si>
    <t xml:space="preserve">  jisme region, category aur monthly trend ka analysis hai, jisse business decisions liye ja sakte hain.'</t>
  </si>
  <si>
    <t>Ye tera pehla real Excel project hoga - isse tu 'main Excel jaanta hoon' confidently bol sakta hai.</t>
  </si>
  <si>
    <t>First Name</t>
  </si>
  <si>
    <t>Vikas</t>
  </si>
  <si>
    <t>Shalini</t>
  </si>
  <si>
    <t>Vivek</t>
  </si>
  <si>
    <t>Suresh</t>
  </si>
  <si>
    <t>Neha</t>
  </si>
  <si>
    <t>Karan</t>
  </si>
  <si>
    <t>Anjali</t>
  </si>
  <si>
    <t>Ajay</t>
  </si>
  <si>
    <t>Ritu</t>
  </si>
  <si>
    <t>Manish</t>
  </si>
  <si>
    <t>Pooja</t>
  </si>
  <si>
    <t>Priya</t>
  </si>
  <si>
    <t>Rohit</t>
  </si>
  <si>
    <t>Sneha</t>
  </si>
  <si>
    <t>Aman</t>
  </si>
  <si>
    <t>Divya</t>
  </si>
  <si>
    <t>Kavita</t>
  </si>
  <si>
    <t>Rahul</t>
  </si>
  <si>
    <t>Meena</t>
  </si>
  <si>
    <t>Sanjay</t>
  </si>
  <si>
    <t>Discount</t>
  </si>
  <si>
    <t>Total Sales</t>
  </si>
  <si>
    <t>Avg Sales</t>
  </si>
  <si>
    <t>Total Order</t>
  </si>
  <si>
    <t>Max Value</t>
  </si>
  <si>
    <t>Min Value</t>
  </si>
  <si>
    <t>Sum Of Units</t>
  </si>
  <si>
    <t>Status</t>
  </si>
  <si>
    <t>Row Labels</t>
  </si>
  <si>
    <t>Grand Total</t>
  </si>
  <si>
    <t>Sum of SalesAmount</t>
  </si>
  <si>
    <t>Sum of Units</t>
  </si>
  <si>
    <t>Column Labels</t>
  </si>
  <si>
    <t>Jan</t>
  </si>
  <si>
    <t>Feb</t>
  </si>
  <si>
    <t>Mar</t>
  </si>
  <si>
    <t>Apr</t>
  </si>
  <si>
    <t>May</t>
  </si>
  <si>
    <t>Jun</t>
  </si>
  <si>
    <t>Count of OrderID</t>
  </si>
  <si>
    <t>Total Orders</t>
  </si>
  <si>
    <t>Total Units</t>
  </si>
  <si>
    <t>Average Order Value</t>
  </si>
  <si>
    <t>Sales Performance Dashboard-2026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</si>
</sst>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0" x14ac:knownFonts="1">
    <font>
      <sz val="11"/>
      <color theme="1"/>
      <name val="Calibri"/>
      <family val="2"/>
      <charset val="1"/>
    </font>
    <font>
      <b/>
      <sz val="18"/>
      <color rgb="FFFFFFFF"/>
      <name val="Arial"/>
      <charset val="1"/>
    </font>
    <font>
      <b/>
      <sz val="13"/>
      <name val="Arial"/>
      <charset val="1"/>
    </font>
    <font>
      <sz val="12"/>
      <name val="Arial"/>
      <charset val="1"/>
    </font>
    <font>
      <i/>
      <sz val="12"/>
      <name val="Arial"/>
      <charset val="1"/>
    </font>
    <font>
      <b/>
      <sz val="14"/>
      <color rgb="FFFFFFFF"/>
      <name val="Arial"/>
      <charset val="1"/>
    </font>
    <font>
      <b/>
      <sz val="11"/>
      <name val="Arial"/>
      <charset val="1"/>
    </font>
    <font>
      <sz val="11"/>
      <name val="Arial"/>
      <charset val="1"/>
    </font>
    <font>
      <sz val="10"/>
      <name val="Arial"/>
      <charset val="1"/>
    </font>
    <font>
      <b/>
      <sz val="12"/>
      <name val="Arial"/>
      <charset val="1"/>
    </font>
    <font>
      <i/>
      <sz val="10"/>
      <name val="Arial"/>
      <charset val="1"/>
    </font>
    <font>
      <b/>
      <sz val="11"/>
      <name val="Arial"/>
      <family val="2"/>
    </font>
    <font>
      <b/>
      <sz val="11"/>
      <color theme="1"/>
      <name val="Calibri"/>
      <family val="2"/>
      <charset val="1"/>
    </font>
    <font>
      <sz val="10"/>
      <name val="Arial"/>
      <family val="2"/>
    </font>
    <font>
      <b/>
      <sz val="11"/>
      <color theme="1"/>
      <name val="Calibri"/>
      <family val="2"/>
    </font>
    <font>
      <b/>
      <sz val="16"/>
      <color theme="1"/>
      <name val="Calibri"/>
      <family val="2"/>
    </font>
    <font>
      <b/>
      <sz val="11"/>
      <color theme="1" tint="4.9989318521683403E-2"/>
      <name val="Calibri"/>
      <family val="2"/>
    </font>
    <font>
      <b/>
      <sz val="16"/>
      <color theme="1" tint="4.9989318521683403E-2"/>
      <name val="Calibri"/>
      <family val="2"/>
    </font>
    <font>
      <b/>
      <sz val="20"/>
      <color rgb="FFFFFFFF"/>
      <name val="Calibri"/>
      <family val="2"/>
    </font>
    <font>
      <sz val="11"/>
      <color rgb="FFFFFFFF"/>
      <name val="Calibri"/>
      <family val="2"/>
    </font>
  </fonts>
  <fills count="9">
    <fill>
      <patternFill patternType="none"/>
    </fill>
    <fill>
      <patternFill patternType="gray125"/>
    </fill>
    <fill>
      <patternFill patternType="solid">
        <fgColor rgb="FF1F4E78"/>
        <bgColor rgb="FF003366"/>
      </patternFill>
    </fill>
    <fill>
      <patternFill patternType="solid">
        <fgColor rgb="FFD9E1F2"/>
        <bgColor rgb="FFE2EFDA"/>
      </patternFill>
    </fill>
    <fill>
      <patternFill patternType="solid">
        <fgColor rgb="FFFFF2CC"/>
        <bgColor rgb="FFE2EFDA"/>
      </patternFill>
    </fill>
    <fill>
      <patternFill patternType="solid">
        <fgColor rgb="FFFFFFFF"/>
        <bgColor rgb="FFFFF2CC"/>
      </patternFill>
    </fill>
    <fill>
      <patternFill patternType="solid">
        <fgColor rgb="FFE2EFDA"/>
        <bgColor rgb="FFD9E1F2"/>
      </patternFill>
    </fill>
    <fill>
      <patternFill patternType="solid">
        <fgColor rgb="FFA3DBFF"/>
        <bgColor indexed="64"/>
      </patternFill>
    </fill>
    <fill>
      <patternFill patternType="solid">
        <fgColor rgb="FF227ACB"/>
        <bgColor indexed="64"/>
      </patternFill>
    </fill>
  </fills>
  <borders count="7">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
      <left style="thin">
        <color rgb="FFB7B7B7"/>
      </left>
      <right style="thin">
        <color rgb="FFB7B7B7"/>
      </right>
      <top style="thin">
        <color rgb="FFB7B7B7"/>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0" fontId="7" fillId="4" borderId="0" xfId="0" applyFont="1" applyFill="1"/>
    <xf numFmtId="0" fontId="2" fillId="0" borderId="0" xfId="0" applyFont="1"/>
    <xf numFmtId="0" fontId="3" fillId="0" borderId="0" xfId="0" applyFont="1"/>
    <xf numFmtId="0" fontId="4" fillId="0" borderId="0" xfId="0" applyFont="1"/>
    <xf numFmtId="0" fontId="6" fillId="3" borderId="1" xfId="0" applyFont="1" applyFill="1" applyBorder="1" applyAlignment="1">
      <alignment horizontal="center" vertical="center" wrapText="1"/>
    </xf>
    <xf numFmtId="0" fontId="7" fillId="0" borderId="1" xfId="0" applyFont="1" applyBorder="1"/>
    <xf numFmtId="0" fontId="8" fillId="0" borderId="1" xfId="0" applyFont="1" applyBorder="1"/>
    <xf numFmtId="0" fontId="6" fillId="0" borderId="0" xfId="0" applyFont="1"/>
    <xf numFmtId="0" fontId="0" fillId="5" borderId="1" xfId="0" applyFill="1" applyBorder="1"/>
    <xf numFmtId="0" fontId="0" fillId="6" borderId="1" xfId="0" applyFill="1" applyBorder="1"/>
    <xf numFmtId="0" fontId="0" fillId="0" borderId="1" xfId="0" applyBorder="1"/>
    <xf numFmtId="0" fontId="10" fillId="0" borderId="0" xfId="0" applyFont="1"/>
    <xf numFmtId="0" fontId="6" fillId="4" borderId="0" xfId="0" applyFont="1" applyFill="1"/>
    <xf numFmtId="164" fontId="8" fillId="0" borderId="1" xfId="0" applyNumberFormat="1" applyFont="1" applyBorder="1"/>
    <xf numFmtId="164" fontId="0" fillId="0" borderId="0" xfId="0" applyNumberFormat="1"/>
    <xf numFmtId="0" fontId="11" fillId="3" borderId="1" xfId="0" applyFont="1" applyFill="1" applyBorder="1" applyAlignment="1">
      <alignment horizontal="center" vertical="center" wrapText="1"/>
    </xf>
    <xf numFmtId="164" fontId="11" fillId="3" borderId="1" xfId="0" applyNumberFormat="1" applyFont="1" applyFill="1" applyBorder="1" applyAlignment="1">
      <alignment horizontal="center" vertical="center" wrapText="1"/>
    </xf>
    <xf numFmtId="0" fontId="11" fillId="3" borderId="2" xfId="0" applyFont="1" applyFill="1" applyBorder="1" applyAlignment="1">
      <alignment horizontal="center" vertical="center" wrapText="1"/>
    </xf>
    <xf numFmtId="0" fontId="12" fillId="0" borderId="0" xfId="0" applyFont="1"/>
    <xf numFmtId="0" fontId="11" fillId="3" borderId="3" xfId="0" applyFont="1" applyFill="1" applyBorder="1" applyAlignment="1">
      <alignment horizontal="center" vertical="center" wrapText="1"/>
    </xf>
    <xf numFmtId="0" fontId="8" fillId="0" borderId="3" xfId="0" applyFont="1" applyBorder="1"/>
    <xf numFmtId="0" fontId="13" fillId="0" borderId="1" xfId="0" applyFont="1" applyBorder="1"/>
    <xf numFmtId="0" fontId="13" fillId="0" borderId="4" xfId="0" applyFont="1" applyBorder="1"/>
    <xf numFmtId="0" fontId="13" fillId="0" borderId="5" xfId="0" applyFont="1" applyBorder="1"/>
    <xf numFmtId="14" fontId="8" fillId="0" borderId="1" xfId="0" applyNumberFormat="1" applyFont="1" applyBorder="1"/>
    <xf numFmtId="2" fontId="0" fillId="0" borderId="1" xfId="0" applyNumberFormat="1" applyBorder="1"/>
    <xf numFmtId="164" fontId="0" fillId="5" borderId="1" xfId="0" applyNumberFormat="1" applyFill="1" applyBorder="1"/>
    <xf numFmtId="0" fontId="0" fillId="0" borderId="0" xfId="0" pivotButton="1"/>
    <xf numFmtId="0" fontId="0" fillId="0" borderId="0" xfId="0" applyAlignment="1">
      <alignment horizontal="left"/>
    </xf>
    <xf numFmtId="0" fontId="14" fillId="0" borderId="0" xfId="0" applyFont="1"/>
    <xf numFmtId="0" fontId="0" fillId="0" borderId="6" xfId="0" applyBorder="1"/>
    <xf numFmtId="0" fontId="14" fillId="7" borderId="6" xfId="0" applyFont="1" applyFill="1" applyBorder="1"/>
    <xf numFmtId="164" fontId="15" fillId="7" borderId="6" xfId="0" applyNumberFormat="1" applyFont="1" applyFill="1" applyBorder="1"/>
    <xf numFmtId="0" fontId="16" fillId="7" borderId="6" xfId="0" applyFont="1" applyFill="1" applyBorder="1"/>
    <xf numFmtId="0" fontId="17" fillId="7" borderId="6" xfId="0" applyFont="1" applyFill="1" applyBorder="1"/>
    <xf numFmtId="0" fontId="15" fillId="7" borderId="6" xfId="0" applyFont="1" applyFill="1" applyBorder="1"/>
    <xf numFmtId="0" fontId="18" fillId="8" borderId="0" xfId="0" applyFont="1" applyFill="1"/>
    <xf numFmtId="0" fontId="19" fillId="8" borderId="0" xfId="0" applyFont="1" applyFill="1"/>
    <xf numFmtId="0" fontId="1" fillId="2" borderId="0" xfId="0" applyFont="1" applyFill="1" applyAlignment="1">
      <alignment horizontal="left" vertical="center" indent="1"/>
    </xf>
    <xf numFmtId="0" fontId="5" fillId="2" borderId="0" xfId="0" applyFont="1" applyFill="1" applyAlignment="1">
      <alignment horizontal="left" vertical="center" indent="1"/>
    </xf>
    <xf numFmtId="0" fontId="9" fillId="4" borderId="0" xfId="0" applyFont="1" applyFill="1"/>
    <xf numFmtId="0" fontId="7" fillId="4" borderId="0" xfId="0" applyFont="1" applyFill="1"/>
  </cellXfs>
  <cellStyles count="1">
    <cellStyle name="Normal" xfId="0" builtinId="0"/>
  </cellStyles>
  <dxfs count="16">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0"/>
        <color auto="1"/>
        <name val="Arial"/>
        <charset val="1"/>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numFmt numFmtId="164" formatCode="&quot;₹&quot;\ #,##0.0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border diagonalUp="0" diagonalDown="0">
        <left/>
        <right style="thin">
          <color rgb="FFB7B7B7"/>
        </right>
        <top style="thin">
          <color rgb="FFB7B7B7"/>
        </top>
        <bottom style="thin">
          <color rgb="FFB7B7B7"/>
        </bottom>
        <vertical/>
        <horizontal/>
      </border>
    </dxf>
    <dxf>
      <border outline="0">
        <left style="thin">
          <color rgb="FFB7B7B7"/>
        </left>
      </border>
    </dxf>
    <dxf>
      <font>
        <b val="0"/>
        <i val="0"/>
        <strike val="0"/>
        <condense val="0"/>
        <extend val="0"/>
        <outline val="0"/>
        <shadow val="0"/>
        <u val="none"/>
        <vertAlign val="baseline"/>
        <sz val="10"/>
        <color auto="1"/>
        <name val="Arial"/>
        <charset val="1"/>
        <scheme val="none"/>
      </font>
    </dxf>
    <dxf>
      <font>
        <b/>
        <i val="0"/>
        <strike val="0"/>
        <condense val="0"/>
        <extend val="0"/>
        <outline val="0"/>
        <shadow val="0"/>
        <u val="none"/>
        <vertAlign val="baseline"/>
        <sz val="11"/>
        <color auto="1"/>
        <name val="Arial"/>
        <family val="2"/>
        <scheme val="none"/>
      </font>
      <fill>
        <patternFill patternType="solid">
          <fgColor rgb="FFE2EFDA"/>
          <bgColor rgb="FFD9E1F2"/>
        </patternFill>
      </fill>
      <alignment horizontal="center" vertical="center" textRotation="0" wrapText="1" indent="0" justifyLastLine="0" shrinkToFit="0" readingOrder="0"/>
      <border diagonalUp="0" diagonalDown="0" outline="0">
        <left style="thin">
          <color rgb="FFB7B7B7"/>
        </left>
        <right style="thin">
          <color rgb="FFB7B7B7"/>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[Excel_Zero_to_Advanced_Practice.xlsx]Pivot4_MonthlyTrend!PivotTable4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Pivot4_MonthlyTrend!$B$3</c:f>
              <c:strCache>
                <c:ptCount val="1"/>
                <c:pt idx="0">
                  <c:v>Total</c:v>
                </c:pt>
              </c:strCache>
            </c:strRef>
          </c:tx>
          <c:spPr>
            <a:ln w="28575" cap="rnd">
              <a:solidFill>
                <a:schemeClr val="accent1"/>
              </a:solidFill>
              <a:round/>
            </a:ln>
            <a:effectLst/>
          </c:spPr>
          <c:marker>
            <c:symbol val="none"/>
          </c:marker>
          <c:cat>
            <c:strRef>
              <c:f>Pivot4_MonthlyTrend!$A$4:$A$10</c:f>
              <c:strCache>
                <c:ptCount val="6"/>
                <c:pt idx="0">
                  <c:v>Jan</c:v>
                </c:pt>
                <c:pt idx="1">
                  <c:v>Feb</c:v>
                </c:pt>
                <c:pt idx="2">
                  <c:v>Mar</c:v>
                </c:pt>
                <c:pt idx="3">
                  <c:v>Apr</c:v>
                </c:pt>
                <c:pt idx="4">
                  <c:v>May</c:v>
                </c:pt>
                <c:pt idx="5">
                  <c:v>Jun</c:v>
                </c:pt>
              </c:strCache>
            </c:strRef>
          </c:cat>
          <c:val>
            <c:numRef>
              <c:f>Pivot4_MonthlyTrend!$B$4:$B$10</c:f>
              <c:numCache>
                <c:formatCode>"₹"\ #,##0.00</c:formatCode>
                <c:ptCount val="6"/>
                <c:pt idx="0">
                  <c:v>2999400</c:v>
                </c:pt>
                <c:pt idx="1">
                  <c:v>3794100</c:v>
                </c:pt>
                <c:pt idx="2">
                  <c:v>2317000</c:v>
                </c:pt>
                <c:pt idx="3">
                  <c:v>4163100</c:v>
                </c:pt>
                <c:pt idx="4">
                  <c:v>2148000</c:v>
                </c:pt>
                <c:pt idx="5">
                  <c:v>2659000</c:v>
                </c:pt>
              </c:numCache>
            </c:numRef>
          </c:val>
          <c:smooth val="0"/>
          <c:extLst>
            <c:ext xmlns:c16="http://schemas.microsoft.com/office/drawing/2014/chart" uri="{C3380CC4-5D6E-409C-BE32-E72D297353CC}">
              <c16:uniqueId val="{00000000-D838-48FE-A30F-4AFDF1AA7552}"/>
            </c:ext>
          </c:extLst>
        </c:ser>
        <c:dLbls>
          <c:showLegendKey val="0"/>
          <c:showVal val="0"/>
          <c:showCatName val="0"/>
          <c:showSerName val="0"/>
          <c:showPercent val="0"/>
          <c:showBubbleSize val="0"/>
        </c:dLbls>
        <c:smooth val="0"/>
        <c:axId val="541260088"/>
        <c:axId val="541259368"/>
      </c:lineChart>
      <c:catAx>
        <c:axId val="541260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259368"/>
        <c:crosses val="autoZero"/>
        <c:auto val="1"/>
        <c:lblAlgn val="ctr"/>
        <c:lblOffset val="100"/>
        <c:noMultiLvlLbl val="0"/>
      </c:catAx>
      <c:valAx>
        <c:axId val="541259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260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[Excel_Zero_to_Advanced_Practice.xlsx]Dashboard!PivotTable1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Region-wise</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3449256342957"/>
          <c:y val="0.26328484981044037"/>
          <c:w val="0.66069203849518809"/>
          <c:h val="0.53774387576552929"/>
        </c:manualLayout>
      </c:layout>
      <c:barChart>
        <c:barDir val="col"/>
        <c:grouping val="clustered"/>
        <c:varyColors val="0"/>
        <c:ser>
          <c:idx val="0"/>
          <c:order val="0"/>
          <c:tx>
            <c:strRef>
              <c:f>Dashboard!$C$6</c:f>
              <c:strCache>
                <c:ptCount val="1"/>
                <c:pt idx="0">
                  <c:v>Total</c:v>
                </c:pt>
              </c:strCache>
            </c:strRef>
          </c:tx>
          <c:spPr>
            <a:solidFill>
              <a:schemeClr val="accent1"/>
            </a:solidFill>
            <a:ln>
              <a:noFill/>
            </a:ln>
            <a:effectLst/>
          </c:spPr>
          <c:invertIfNegative val="0"/>
          <c:cat>
            <c:strRef>
              <c:f>Dashboard!$B$7:$B$11</c:f>
              <c:strCache>
                <c:ptCount val="4"/>
                <c:pt idx="0">
                  <c:v>East</c:v>
                </c:pt>
                <c:pt idx="1">
                  <c:v>North</c:v>
                </c:pt>
                <c:pt idx="2">
                  <c:v>South</c:v>
                </c:pt>
                <c:pt idx="3">
                  <c:v>West</c:v>
                </c:pt>
              </c:strCache>
            </c:strRef>
          </c:cat>
          <c:val>
            <c:numRef>
              <c:f>Dashboard!$C$7:$C$11</c:f>
              <c:numCache>
                <c:formatCode>"₹"\ #,##0.00</c:formatCode>
                <c:ptCount val="4"/>
                <c:pt idx="0">
                  <c:v>4588900</c:v>
                </c:pt>
                <c:pt idx="1">
                  <c:v>6519000</c:v>
                </c:pt>
                <c:pt idx="2">
                  <c:v>4212600</c:v>
                </c:pt>
                <c:pt idx="3">
                  <c:v>2760100</c:v>
                </c:pt>
              </c:numCache>
            </c:numRef>
          </c:val>
          <c:extLst>
            <c:ext xmlns:c16="http://schemas.microsoft.com/office/drawing/2014/chart" uri="{C3380CC4-5D6E-409C-BE32-E72D297353CC}">
              <c16:uniqueId val="{00000000-1D0C-4A85-8B96-92B79CF2CA05}"/>
            </c:ext>
          </c:extLst>
        </c:ser>
        <c:dLbls>
          <c:showLegendKey val="0"/>
          <c:showVal val="0"/>
          <c:showCatName val="0"/>
          <c:showSerName val="0"/>
          <c:showPercent val="0"/>
          <c:showBubbleSize val="0"/>
        </c:dLbls>
        <c:gapWidth val="219"/>
        <c:overlap val="-27"/>
        <c:axId val="548547928"/>
        <c:axId val="548540008"/>
      </c:barChart>
      <c:catAx>
        <c:axId val="548547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540008"/>
        <c:crosses val="autoZero"/>
        <c:auto val="1"/>
        <c:lblAlgn val="ctr"/>
        <c:lblOffset val="100"/>
        <c:noMultiLvlLbl val="0"/>
      </c:catAx>
      <c:valAx>
        <c:axId val="5485400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547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Region-Wise Sales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F2-4B86-8FC8-1B6D272B55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F2-4B86-8FC8-1B6D272B5576}"/>
              </c:ext>
            </c:extLst>
          </c:dPt>
          <c:cat>
            <c:strRef>
              <c:f>Dashboard!$B$25:$B$26</c:f>
              <c:strCache>
                <c:ptCount val="2"/>
                <c:pt idx="0">
                  <c:v>Electronics</c:v>
                </c:pt>
                <c:pt idx="1">
                  <c:v>Accessories</c:v>
                </c:pt>
              </c:strCache>
            </c:strRef>
          </c:cat>
          <c:val>
            <c:numRef>
              <c:f>Dashboard!$C$25:$C$26</c:f>
              <c:numCache>
                <c:formatCode>General</c:formatCode>
                <c:ptCount val="2"/>
                <c:pt idx="0">
                  <c:v>17481500</c:v>
                </c:pt>
                <c:pt idx="1">
                  <c:v>599100</c:v>
                </c:pt>
              </c:numCache>
            </c:numRef>
          </c:val>
          <c:extLst>
            <c:ext xmlns:c16="http://schemas.microsoft.com/office/drawing/2014/chart" uri="{C3380CC4-5D6E-409C-BE32-E72D297353CC}">
              <c16:uniqueId val="{00000000-9ABA-422F-B588-1F132A6A2E9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355600</xdr:colOff>
      <xdr:row>1</xdr:row>
      <xdr:rowOff>107950</xdr:rowOff>
    </xdr:from>
    <xdr:to>
      <xdr:col>7</xdr:col>
      <xdr:colOff>406400</xdr:colOff>
      <xdr:row>10</xdr:row>
      <xdr:rowOff>139700</xdr:rowOff>
    </xdr:to>
    <xdr:graphicFrame macro="">
      <xdr:nvGraphicFramePr>
        <xdr:cNvPr id="2" name="Chart 1">
          <a:extLst>
            <a:ext uri="{FF2B5EF4-FFF2-40B4-BE49-F238E27FC236}">
              <a16:creationId xmlns:a16="http://schemas.microsoft.com/office/drawing/2014/main" id="{AA0E349A-A8B4-92E9-A4BD-2E35C3D6A4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5188</xdr:colOff>
      <xdr:row>12</xdr:row>
      <xdr:rowOff>19892</xdr:rowOff>
    </xdr:from>
    <xdr:to>
      <xdr:col>2</xdr:col>
      <xdr:colOff>1271147</xdr:colOff>
      <xdr:row>21</xdr:row>
      <xdr:rowOff>101906</xdr:rowOff>
    </xdr:to>
    <xdr:graphicFrame macro="">
      <xdr:nvGraphicFramePr>
        <xdr:cNvPr id="2" name="Chart 1">
          <a:extLst>
            <a:ext uri="{FF2B5EF4-FFF2-40B4-BE49-F238E27FC236}">
              <a16:creationId xmlns:a16="http://schemas.microsoft.com/office/drawing/2014/main" id="{ED02D26E-DAF8-3DDD-B2F8-9266A7B928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823311</xdr:colOff>
      <xdr:row>12</xdr:row>
      <xdr:rowOff>138679</xdr:rowOff>
    </xdr:from>
    <xdr:to>
      <xdr:col>7</xdr:col>
      <xdr:colOff>810173</xdr:colOff>
      <xdr:row>22</xdr:row>
      <xdr:rowOff>43793</xdr:rowOff>
    </xdr:to>
    <xdr:graphicFrame macro="">
      <xdr:nvGraphicFramePr>
        <xdr:cNvPr id="3" name="Chart 2">
          <a:extLst>
            <a:ext uri="{FF2B5EF4-FFF2-40B4-BE49-F238E27FC236}">
              <a16:creationId xmlns:a16="http://schemas.microsoft.com/office/drawing/2014/main" id="{702921CA-DF41-56DC-59AD-1AFB9EDBF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12189</xdr:colOff>
      <xdr:row>0</xdr:row>
      <xdr:rowOff>58391</xdr:rowOff>
    </xdr:from>
    <xdr:to>
      <xdr:col>12</xdr:col>
      <xdr:colOff>1679</xdr:colOff>
      <xdr:row>18</xdr:row>
      <xdr:rowOff>100907</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2ED01226-1992-7ABA-241C-53C133747C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02517" y="58391"/>
              <a:ext cx="1832030" cy="25200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6.727833680554" createdVersion="8" refreshedVersion="8" minRefreshableVersion="3" recordCount="180" xr:uid="{494D3446-71F2-4DBF-BA05-D29606FB5A71}">
  <cacheSource type="worksheet">
    <worksheetSource name="Table1"/>
  </cacheSource>
  <cacheFields count="12">
    <cacheField name="OrderID" numFmtId="0">
      <sharedItems/>
    </cacheField>
    <cacheField name="Date" numFmtId="14">
      <sharedItems containsSemiMixedTypes="0" containsNonDate="0" containsDate="1" containsString="0" minDate="2024-01-01T00:00:00" maxDate="2024-06-25T00:00:00" count="107">
        <d v="2024-01-25T00:00:00"/>
        <d v="2024-04-19T00:00:00"/>
        <d v="2024-05-13T00:00:00"/>
        <d v="2024-04-01T00:00:00"/>
        <d v="2024-03-16T00:00:00"/>
        <d v="2024-06-18T00:00:00"/>
        <d v="2024-01-14T00:00:00"/>
        <d v="2024-06-04T00:00:00"/>
        <d v="2024-02-28T00:00:00"/>
        <d v="2024-02-03T00:00:00"/>
        <d v="2024-04-23T00:00:00"/>
        <d v="2024-03-25T00:00:00"/>
        <d v="2024-04-05T00:00:00"/>
        <d v="2024-02-14T00:00:00"/>
        <d v="2024-03-20T00:00:00"/>
        <d v="2024-04-04T00:00:00"/>
        <d v="2024-03-27T00:00:00"/>
        <d v="2024-02-06T00:00:00"/>
        <d v="2024-03-26T00:00:00"/>
        <d v="2024-01-19T00:00:00"/>
        <d v="2024-02-26T00:00:00"/>
        <d v="2024-05-26T00:00:00"/>
        <d v="2024-01-02T00:00:00"/>
        <d v="2024-04-20T00:00:00"/>
        <d v="2024-04-13T00:00:00"/>
        <d v="2024-02-27T00:00:00"/>
        <d v="2024-05-24T00:00:00"/>
        <d v="2024-04-27T00:00:00"/>
        <d v="2024-03-28T00:00:00"/>
        <d v="2024-01-27T00:00:00"/>
        <d v="2024-01-22T00:00:00"/>
        <d v="2024-02-12T00:00:00"/>
        <d v="2024-02-09T00:00:00"/>
        <d v="2024-06-11T00:00:00"/>
        <d v="2024-02-02T00:00:00"/>
        <d v="2024-04-10T00:00:00"/>
        <d v="2024-04-08T00:00:00"/>
        <d v="2024-06-17T00:00:00"/>
        <d v="2024-05-07T00:00:00"/>
        <d v="2024-05-16T00:00:00"/>
        <d v="2024-06-19T00:00:00"/>
        <d v="2024-05-28T00:00:00"/>
        <d v="2024-06-14T00:00:00"/>
        <d v="2024-03-08T00:00:00"/>
        <d v="2024-05-14T00:00:00"/>
        <d v="2024-02-21T00:00:00"/>
        <d v="2024-04-03T00:00:00"/>
        <d v="2024-04-11T00:00:00"/>
        <d v="2024-05-15T00:00:00"/>
        <d v="2024-06-13T00:00:00"/>
        <d v="2024-02-16T00:00:00"/>
        <d v="2024-06-06T00:00:00"/>
        <d v="2024-02-17T00:00:00"/>
        <d v="2024-02-07T00:00:00"/>
        <d v="2024-06-21T00:00:00"/>
        <d v="2024-01-23T00:00:00"/>
        <d v="2024-01-15T00:00:00"/>
        <d v="2024-06-16T00:00:00"/>
        <d v="2024-05-10T00:00:00"/>
        <d v="2024-02-15T00:00:00"/>
        <d v="2024-05-27T00:00:00"/>
        <d v="2024-05-12T00:00:00"/>
        <d v="2024-02-08T00:00:00"/>
        <d v="2024-02-04T00:00:00"/>
        <d v="2024-01-01T00:00:00"/>
        <d v="2024-01-26T00:00:00"/>
        <d v="2024-01-03T00:00:00"/>
        <d v="2024-02-05T00:00:00"/>
        <d v="2024-01-08T00:00:00"/>
        <d v="2024-01-12T00:00:00"/>
        <d v="2024-03-03T00:00:00"/>
        <d v="2024-06-15T00:00:00"/>
        <d v="2024-04-26T00:00:00"/>
        <d v="2024-02-01T00:00:00"/>
        <d v="2024-02-24T00:00:00"/>
        <d v="2024-05-03T00:00:00"/>
        <d v="2024-06-09T00:00:00"/>
        <d v="2024-03-05T00:00:00"/>
        <d v="2024-04-06T00:00:00"/>
        <d v="2024-02-10T00:00:00"/>
        <d v="2024-04-22T00:00:00"/>
        <d v="2024-01-09T00:00:00"/>
        <d v="2024-04-24T00:00:00"/>
        <d v="2024-01-24T00:00:00"/>
        <d v="2024-01-28T00:00:00"/>
        <d v="2024-05-02T00:00:00"/>
        <d v="2024-03-11T00:00:00"/>
        <d v="2024-06-03T00:00:00"/>
        <d v="2024-03-07T00:00:00"/>
        <d v="2024-01-11T00:00:00"/>
        <d v="2024-04-12T00:00:00"/>
        <d v="2024-03-14T00:00:00"/>
        <d v="2024-01-20T00:00:00"/>
        <d v="2024-03-01T00:00:00"/>
        <d v="2024-04-15T00:00:00"/>
        <d v="2024-06-05T00:00:00"/>
        <d v="2024-05-23T00:00:00"/>
        <d v="2024-05-25T00:00:00"/>
        <d v="2024-01-04T00:00:00"/>
        <d v="2024-06-24T00:00:00"/>
        <d v="2024-01-16T00:00:00"/>
        <d v="2024-01-07T00:00:00"/>
        <d v="2024-02-19T00:00:00"/>
        <d v="2024-04-09T00:00:00"/>
        <d v="2024-05-18T00:00:00"/>
        <d v="2024-02-22T00:00:00"/>
        <d v="2024-05-08T00:00:00"/>
      </sharedItems>
      <fieldGroup par="11"/>
    </cacheField>
    <cacheField name="EmpID" numFmtId="0">
      <sharedItems containsSemiMixedTypes="0" containsString="0" containsNumber="1" containsInteger="1" minValue="1001" maxValue="1020"/>
    </cacheField>
    <cacheField name="EmpName" numFmtId="0">
      <sharedItems count="20">
        <s v="Vikas Singh"/>
        <s v="Shalini Gupta"/>
        <s v="Vivek Verma"/>
        <s v="Suresh Singh"/>
        <s v="Neha Joshi"/>
        <s v="Karan Reddy"/>
        <s v="Anjali Patel"/>
        <s v="Ajay Sharma"/>
        <s v="Ritu Singh"/>
        <s v="Manish Joshi"/>
        <s v="Pooja Patel"/>
        <s v="Priya Singh"/>
        <s v="Rohit Verma"/>
        <s v="Sneha Sharma"/>
        <s v="Aman Joshi"/>
        <s v="Divya Mishra"/>
        <s v="Kavita Joshi"/>
        <s v="Rahul Reddy"/>
        <s v="Meena Mishra"/>
        <s v="Sanjay Kumar"/>
      </sharedItems>
    </cacheField>
    <cacheField name="Region" numFmtId="0">
      <sharedItems count="4">
        <s v="North"/>
        <s v="West"/>
        <s v="South"/>
        <s v="East"/>
      </sharedItems>
    </cacheField>
    <cacheField name="Product" numFmtId="0">
      <sharedItems count="8">
        <s v="Laptop"/>
        <s v="Tablet"/>
        <s v="Mobile"/>
        <s v="Monitor"/>
        <s v="Printer"/>
        <s v="Headphones"/>
        <s v="Keyboard"/>
        <s v="Mouse"/>
      </sharedItems>
    </cacheField>
    <cacheField name="Category" numFmtId="0">
      <sharedItems count="2">
        <s v="Electronics"/>
        <s v="Accessories"/>
      </sharedItems>
    </cacheField>
    <cacheField name="Units" numFmtId="0">
      <sharedItems containsSemiMixedTypes="0" containsString="0" containsNumber="1" containsInteger="1" minValue="1" maxValue="15"/>
    </cacheField>
    <cacheField name="UnitPrice" numFmtId="0">
      <sharedItems containsSemiMixedTypes="0" containsString="0" containsNumber="1" containsInteger="1" minValue="500" maxValue="55000"/>
    </cacheField>
    <cacheField name="SalesAmount" numFmtId="164">
      <sharedItems containsSemiMixedTypes="0" containsString="0" containsNumber="1" containsInteger="1" minValue="800" maxValue="825000"/>
    </cacheField>
    <cacheField name="First Name" numFmtId="0">
      <sharedItems/>
    </cacheField>
    <cacheField name="Months (Date)" numFmtId="0" databaseField="0">
      <fieldGroup base="1">
        <rangePr groupBy="months" startDate="2024-01-01T00:00:00" endDate="2024-06-25T00:00:00"/>
        <groupItems count="14">
          <s v="&lt;01-01-2024"/>
          <s v="Jan"/>
          <s v="Feb"/>
          <s v="Mar"/>
          <s v="Apr"/>
          <s v="May"/>
          <s v="Jun"/>
          <s v="Jul"/>
          <s v="Aug"/>
          <s v="Sep"/>
          <s v="Oct"/>
          <s v="Nov"/>
          <s v="Dec"/>
          <s v="&gt;25-06-2024"/>
        </groupItems>
      </fieldGroup>
    </cacheField>
  </cacheFields>
  <extLst>
    <ext xmlns:x14="http://schemas.microsoft.com/office/spreadsheetml/2009/9/main" uri="{725AE2AE-9491-48be-B2B4-4EB974FC3084}">
      <x14:pivotCacheDefinition pivotCacheId="20134267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s v="ORD1098"/>
    <x v="0"/>
    <n v="1005"/>
    <x v="0"/>
    <x v="0"/>
    <x v="0"/>
    <x v="0"/>
    <n v="15"/>
    <n v="55000"/>
    <n v="825000"/>
    <s v="Vikas"/>
  </r>
  <r>
    <s v="ORD1118"/>
    <x v="1"/>
    <n v="1020"/>
    <x v="1"/>
    <x v="1"/>
    <x v="0"/>
    <x v="0"/>
    <n v="15"/>
    <n v="55000"/>
    <n v="825000"/>
    <s v="Shalini"/>
  </r>
  <r>
    <s v="ORD1112"/>
    <x v="2"/>
    <n v="1019"/>
    <x v="2"/>
    <x v="2"/>
    <x v="0"/>
    <x v="0"/>
    <n v="14"/>
    <n v="55000"/>
    <n v="770000"/>
    <s v="Vivek"/>
  </r>
  <r>
    <s v="ORD1082"/>
    <x v="3"/>
    <n v="1009"/>
    <x v="3"/>
    <x v="3"/>
    <x v="0"/>
    <x v="0"/>
    <n v="12"/>
    <n v="55000"/>
    <n v="660000"/>
    <s v="Suresh"/>
  </r>
  <r>
    <s v="ORD1017"/>
    <x v="4"/>
    <n v="1006"/>
    <x v="4"/>
    <x v="1"/>
    <x v="0"/>
    <x v="0"/>
    <n v="10"/>
    <n v="55000"/>
    <n v="550000"/>
    <s v="Neha"/>
  </r>
  <r>
    <s v="ORD1044"/>
    <x v="5"/>
    <n v="1007"/>
    <x v="5"/>
    <x v="3"/>
    <x v="0"/>
    <x v="0"/>
    <n v="10"/>
    <n v="55000"/>
    <n v="550000"/>
    <s v="Karan"/>
  </r>
  <r>
    <s v="ORD1049"/>
    <x v="6"/>
    <n v="1019"/>
    <x v="2"/>
    <x v="2"/>
    <x v="0"/>
    <x v="0"/>
    <n v="10"/>
    <n v="55000"/>
    <n v="550000"/>
    <s v="Vivek"/>
  </r>
  <r>
    <s v="ORD1167"/>
    <x v="7"/>
    <n v="1010"/>
    <x v="6"/>
    <x v="0"/>
    <x v="0"/>
    <x v="0"/>
    <n v="10"/>
    <n v="55000"/>
    <n v="550000"/>
    <s v="Anjali"/>
  </r>
  <r>
    <s v="ORD1100"/>
    <x v="8"/>
    <n v="1015"/>
    <x v="7"/>
    <x v="2"/>
    <x v="0"/>
    <x v="0"/>
    <n v="9"/>
    <n v="55000"/>
    <n v="495000"/>
    <s v="Ajay"/>
  </r>
  <r>
    <s v="ORD1145"/>
    <x v="9"/>
    <n v="1009"/>
    <x v="3"/>
    <x v="3"/>
    <x v="0"/>
    <x v="0"/>
    <n v="9"/>
    <n v="55000"/>
    <n v="495000"/>
    <s v="Suresh"/>
  </r>
  <r>
    <s v="ORD1170"/>
    <x v="10"/>
    <n v="1006"/>
    <x v="4"/>
    <x v="1"/>
    <x v="0"/>
    <x v="0"/>
    <n v="7"/>
    <n v="55000"/>
    <n v="385000"/>
    <s v="Neha"/>
  </r>
  <r>
    <s v="ORD1113"/>
    <x v="11"/>
    <n v="1016"/>
    <x v="8"/>
    <x v="0"/>
    <x v="0"/>
    <x v="0"/>
    <n v="6"/>
    <n v="55000"/>
    <n v="330000"/>
    <s v="Ritu"/>
  </r>
  <r>
    <s v="ORD1117"/>
    <x v="12"/>
    <n v="1013"/>
    <x v="9"/>
    <x v="3"/>
    <x v="1"/>
    <x v="0"/>
    <n v="14"/>
    <n v="22000"/>
    <n v="308000"/>
    <s v="Manish"/>
  </r>
  <r>
    <s v="ORD1070"/>
    <x v="13"/>
    <n v="1008"/>
    <x v="10"/>
    <x v="3"/>
    <x v="1"/>
    <x v="0"/>
    <n v="13"/>
    <n v="22000"/>
    <n v="286000"/>
    <s v="Pooja"/>
  </r>
  <r>
    <s v="ORD1176"/>
    <x v="14"/>
    <n v="1002"/>
    <x v="11"/>
    <x v="2"/>
    <x v="1"/>
    <x v="0"/>
    <n v="13"/>
    <n v="22000"/>
    <n v="286000"/>
    <s v="Priya"/>
  </r>
  <r>
    <s v="ORD1161"/>
    <x v="15"/>
    <n v="1006"/>
    <x v="4"/>
    <x v="1"/>
    <x v="0"/>
    <x v="0"/>
    <n v="5"/>
    <n v="55000"/>
    <n v="275000"/>
    <s v="Neha"/>
  </r>
  <r>
    <s v="ORD1018"/>
    <x v="16"/>
    <n v="1001"/>
    <x v="12"/>
    <x v="0"/>
    <x v="2"/>
    <x v="0"/>
    <n v="15"/>
    <n v="18000"/>
    <n v="270000"/>
    <s v="Rohit"/>
  </r>
  <r>
    <s v="ORD1039"/>
    <x v="17"/>
    <n v="1001"/>
    <x v="12"/>
    <x v="0"/>
    <x v="2"/>
    <x v="0"/>
    <n v="15"/>
    <n v="18000"/>
    <n v="270000"/>
    <s v="Rohit"/>
  </r>
  <r>
    <s v="ORD1071"/>
    <x v="18"/>
    <n v="1001"/>
    <x v="12"/>
    <x v="0"/>
    <x v="1"/>
    <x v="0"/>
    <n v="12"/>
    <n v="22000"/>
    <n v="264000"/>
    <s v="Rohit"/>
  </r>
  <r>
    <s v="ORD1109"/>
    <x v="9"/>
    <n v="1013"/>
    <x v="9"/>
    <x v="3"/>
    <x v="1"/>
    <x v="0"/>
    <n v="12"/>
    <n v="22000"/>
    <n v="264000"/>
    <s v="Manish"/>
  </r>
  <r>
    <s v="ORD1159"/>
    <x v="19"/>
    <n v="1016"/>
    <x v="8"/>
    <x v="0"/>
    <x v="2"/>
    <x v="0"/>
    <n v="14"/>
    <n v="18000"/>
    <n v="252000"/>
    <s v="Ritu"/>
  </r>
  <r>
    <s v="ORD1009"/>
    <x v="20"/>
    <n v="1004"/>
    <x v="13"/>
    <x v="0"/>
    <x v="1"/>
    <x v="0"/>
    <n v="11"/>
    <n v="22000"/>
    <n v="242000"/>
    <s v="Sneha"/>
  </r>
  <r>
    <s v="ORD1133"/>
    <x v="21"/>
    <n v="1020"/>
    <x v="1"/>
    <x v="1"/>
    <x v="2"/>
    <x v="0"/>
    <n v="13"/>
    <n v="18000"/>
    <n v="234000"/>
    <s v="Shalini"/>
  </r>
  <r>
    <s v="ORD1028"/>
    <x v="22"/>
    <n v="1003"/>
    <x v="14"/>
    <x v="0"/>
    <x v="0"/>
    <x v="0"/>
    <n v="4"/>
    <n v="55000"/>
    <n v="220000"/>
    <s v="Aman"/>
  </r>
  <r>
    <s v="ORD1095"/>
    <x v="23"/>
    <n v="1001"/>
    <x v="12"/>
    <x v="0"/>
    <x v="0"/>
    <x v="0"/>
    <n v="4"/>
    <n v="55000"/>
    <n v="220000"/>
    <s v="Rohit"/>
  </r>
  <r>
    <s v="ORD1111"/>
    <x v="24"/>
    <n v="1014"/>
    <x v="15"/>
    <x v="2"/>
    <x v="0"/>
    <x v="0"/>
    <n v="4"/>
    <n v="55000"/>
    <n v="220000"/>
    <s v="Divya"/>
  </r>
  <r>
    <s v="ORD1125"/>
    <x v="25"/>
    <n v="1002"/>
    <x v="11"/>
    <x v="2"/>
    <x v="0"/>
    <x v="0"/>
    <n v="4"/>
    <n v="55000"/>
    <n v="220000"/>
    <s v="Priya"/>
  </r>
  <r>
    <s v="ORD1128"/>
    <x v="26"/>
    <n v="1012"/>
    <x v="16"/>
    <x v="0"/>
    <x v="1"/>
    <x v="0"/>
    <n v="10"/>
    <n v="22000"/>
    <n v="220000"/>
    <s v="Kavita"/>
  </r>
  <r>
    <s v="ORD1020"/>
    <x v="27"/>
    <n v="1003"/>
    <x v="14"/>
    <x v="0"/>
    <x v="2"/>
    <x v="0"/>
    <n v="12"/>
    <n v="18000"/>
    <n v="216000"/>
    <s v="Aman"/>
  </r>
  <r>
    <s v="ORD1132"/>
    <x v="28"/>
    <n v="1008"/>
    <x v="10"/>
    <x v="3"/>
    <x v="2"/>
    <x v="0"/>
    <n v="12"/>
    <n v="18000"/>
    <n v="216000"/>
    <s v="Pooja"/>
  </r>
  <r>
    <s v="ORD1065"/>
    <x v="29"/>
    <n v="1003"/>
    <x v="14"/>
    <x v="0"/>
    <x v="1"/>
    <x v="0"/>
    <n v="9"/>
    <n v="22000"/>
    <n v="198000"/>
    <s v="Aman"/>
  </r>
  <r>
    <s v="ORD1047"/>
    <x v="30"/>
    <n v="1006"/>
    <x v="4"/>
    <x v="1"/>
    <x v="2"/>
    <x v="0"/>
    <n v="10"/>
    <n v="18000"/>
    <n v="180000"/>
    <s v="Neha"/>
  </r>
  <r>
    <s v="ORD1143"/>
    <x v="31"/>
    <n v="1011"/>
    <x v="17"/>
    <x v="3"/>
    <x v="1"/>
    <x v="0"/>
    <n v="8"/>
    <n v="22000"/>
    <n v="176000"/>
    <s v="Rahul"/>
  </r>
  <r>
    <s v="ORD1041"/>
    <x v="3"/>
    <n v="1013"/>
    <x v="9"/>
    <x v="3"/>
    <x v="0"/>
    <x v="0"/>
    <n v="3"/>
    <n v="55000"/>
    <n v="165000"/>
    <s v="Manish"/>
  </r>
  <r>
    <s v="ORD1029"/>
    <x v="32"/>
    <n v="1011"/>
    <x v="17"/>
    <x v="3"/>
    <x v="2"/>
    <x v="0"/>
    <n v="9"/>
    <n v="18000"/>
    <n v="162000"/>
    <s v="Rahul"/>
  </r>
  <r>
    <s v="ORD1135"/>
    <x v="33"/>
    <n v="1012"/>
    <x v="16"/>
    <x v="0"/>
    <x v="2"/>
    <x v="0"/>
    <n v="9"/>
    <n v="18000"/>
    <n v="162000"/>
    <s v="Kavita"/>
  </r>
  <r>
    <s v="ORD1066"/>
    <x v="34"/>
    <n v="1012"/>
    <x v="16"/>
    <x v="0"/>
    <x v="1"/>
    <x v="0"/>
    <n v="7"/>
    <n v="22000"/>
    <n v="154000"/>
    <s v="Kavita"/>
  </r>
  <r>
    <s v="ORD1042"/>
    <x v="35"/>
    <n v="1013"/>
    <x v="9"/>
    <x v="3"/>
    <x v="3"/>
    <x v="0"/>
    <n v="15"/>
    <n v="9000"/>
    <n v="135000"/>
    <s v="Manish"/>
  </r>
  <r>
    <s v="ORD1057"/>
    <x v="7"/>
    <n v="1001"/>
    <x v="12"/>
    <x v="0"/>
    <x v="3"/>
    <x v="0"/>
    <n v="15"/>
    <n v="9000"/>
    <n v="135000"/>
    <s v="Rohit"/>
  </r>
  <r>
    <s v="ORD1141"/>
    <x v="36"/>
    <n v="1003"/>
    <x v="14"/>
    <x v="0"/>
    <x v="3"/>
    <x v="0"/>
    <n v="15"/>
    <n v="9000"/>
    <n v="135000"/>
    <s v="Aman"/>
  </r>
  <r>
    <s v="ORD1010"/>
    <x v="23"/>
    <n v="1014"/>
    <x v="15"/>
    <x v="2"/>
    <x v="2"/>
    <x v="0"/>
    <n v="7"/>
    <n v="18000"/>
    <n v="126000"/>
    <s v="Divya"/>
  </r>
  <r>
    <s v="ORD1015"/>
    <x v="37"/>
    <n v="1004"/>
    <x v="13"/>
    <x v="0"/>
    <x v="3"/>
    <x v="0"/>
    <n v="14"/>
    <n v="9000"/>
    <n v="126000"/>
    <s v="Sneha"/>
  </r>
  <r>
    <s v="ORD1081"/>
    <x v="38"/>
    <n v="1020"/>
    <x v="1"/>
    <x v="1"/>
    <x v="2"/>
    <x v="0"/>
    <n v="7"/>
    <n v="18000"/>
    <n v="126000"/>
    <s v="Shalini"/>
  </r>
  <r>
    <s v="ORD1175"/>
    <x v="9"/>
    <n v="1005"/>
    <x v="0"/>
    <x v="0"/>
    <x v="3"/>
    <x v="0"/>
    <n v="14"/>
    <n v="9000"/>
    <n v="126000"/>
    <s v="Vikas"/>
  </r>
  <r>
    <s v="ORD1012"/>
    <x v="33"/>
    <n v="1004"/>
    <x v="13"/>
    <x v="0"/>
    <x v="3"/>
    <x v="0"/>
    <n v="13"/>
    <n v="9000"/>
    <n v="117000"/>
    <s v="Sneha"/>
  </r>
  <r>
    <s v="ORD1105"/>
    <x v="39"/>
    <n v="1008"/>
    <x v="10"/>
    <x v="3"/>
    <x v="3"/>
    <x v="0"/>
    <n v="13"/>
    <n v="9000"/>
    <n v="117000"/>
    <s v="Pooja"/>
  </r>
  <r>
    <s v="ORD1173"/>
    <x v="40"/>
    <n v="1008"/>
    <x v="10"/>
    <x v="3"/>
    <x v="3"/>
    <x v="0"/>
    <n v="13"/>
    <n v="9000"/>
    <n v="117000"/>
    <s v="Pooja"/>
  </r>
  <r>
    <s v="ORD1022"/>
    <x v="41"/>
    <n v="1018"/>
    <x v="18"/>
    <x v="2"/>
    <x v="1"/>
    <x v="0"/>
    <n v="5"/>
    <n v="22000"/>
    <n v="110000"/>
    <s v="Meena"/>
  </r>
  <r>
    <s v="ORD1059"/>
    <x v="14"/>
    <n v="1018"/>
    <x v="18"/>
    <x v="2"/>
    <x v="1"/>
    <x v="0"/>
    <n v="5"/>
    <n v="22000"/>
    <n v="110000"/>
    <s v="Meena"/>
  </r>
  <r>
    <s v="ORD1119"/>
    <x v="42"/>
    <n v="1019"/>
    <x v="2"/>
    <x v="2"/>
    <x v="0"/>
    <x v="0"/>
    <n v="2"/>
    <n v="55000"/>
    <n v="110000"/>
    <s v="Vivek"/>
  </r>
  <r>
    <s v="ORD1129"/>
    <x v="19"/>
    <n v="1004"/>
    <x v="13"/>
    <x v="0"/>
    <x v="1"/>
    <x v="0"/>
    <n v="5"/>
    <n v="22000"/>
    <n v="110000"/>
    <s v="Sneha"/>
  </r>
  <r>
    <s v="ORD1148"/>
    <x v="43"/>
    <n v="1015"/>
    <x v="7"/>
    <x v="2"/>
    <x v="0"/>
    <x v="0"/>
    <n v="2"/>
    <n v="55000"/>
    <n v="110000"/>
    <s v="Ajay"/>
  </r>
  <r>
    <s v="ORD1157"/>
    <x v="22"/>
    <n v="1018"/>
    <x v="18"/>
    <x v="2"/>
    <x v="1"/>
    <x v="0"/>
    <n v="5"/>
    <n v="22000"/>
    <n v="110000"/>
    <s v="Meena"/>
  </r>
  <r>
    <s v="ORD1006"/>
    <x v="44"/>
    <n v="1008"/>
    <x v="10"/>
    <x v="3"/>
    <x v="3"/>
    <x v="0"/>
    <n v="12"/>
    <n v="9000"/>
    <n v="108000"/>
    <s v="Pooja"/>
  </r>
  <r>
    <s v="ORD1158"/>
    <x v="45"/>
    <n v="1018"/>
    <x v="18"/>
    <x v="2"/>
    <x v="3"/>
    <x v="0"/>
    <n v="12"/>
    <n v="9000"/>
    <n v="108000"/>
    <s v="Meena"/>
  </r>
  <r>
    <s v="ORD1172"/>
    <x v="46"/>
    <n v="1010"/>
    <x v="6"/>
    <x v="0"/>
    <x v="3"/>
    <x v="0"/>
    <n v="12"/>
    <n v="9000"/>
    <n v="108000"/>
    <s v="Anjali"/>
  </r>
  <r>
    <s v="ORD1085"/>
    <x v="47"/>
    <n v="1010"/>
    <x v="6"/>
    <x v="0"/>
    <x v="3"/>
    <x v="0"/>
    <n v="11"/>
    <n v="9000"/>
    <n v="99000"/>
    <s v="Anjali"/>
  </r>
  <r>
    <s v="ORD1025"/>
    <x v="48"/>
    <n v="1012"/>
    <x v="16"/>
    <x v="0"/>
    <x v="4"/>
    <x v="0"/>
    <n v="15"/>
    <n v="6500"/>
    <n v="97500"/>
    <s v="Kavita"/>
  </r>
  <r>
    <s v="ORD1056"/>
    <x v="37"/>
    <n v="1018"/>
    <x v="18"/>
    <x v="2"/>
    <x v="3"/>
    <x v="0"/>
    <n v="10"/>
    <n v="9000"/>
    <n v="90000"/>
    <s v="Meena"/>
  </r>
  <r>
    <s v="ORD1130"/>
    <x v="49"/>
    <n v="1001"/>
    <x v="12"/>
    <x v="0"/>
    <x v="3"/>
    <x v="0"/>
    <n v="10"/>
    <n v="9000"/>
    <n v="90000"/>
    <s v="Rohit"/>
  </r>
  <r>
    <s v="ORD1126"/>
    <x v="50"/>
    <n v="1001"/>
    <x v="12"/>
    <x v="0"/>
    <x v="1"/>
    <x v="0"/>
    <n v="4"/>
    <n v="22000"/>
    <n v="88000"/>
    <s v="Rohit"/>
  </r>
  <r>
    <s v="ORD1091"/>
    <x v="51"/>
    <n v="1007"/>
    <x v="5"/>
    <x v="3"/>
    <x v="4"/>
    <x v="0"/>
    <n v="13"/>
    <n v="6500"/>
    <n v="84500"/>
    <s v="Karan"/>
  </r>
  <r>
    <s v="ORD1011"/>
    <x v="30"/>
    <n v="1015"/>
    <x v="7"/>
    <x v="2"/>
    <x v="3"/>
    <x v="0"/>
    <n v="9"/>
    <n v="9000"/>
    <n v="81000"/>
    <s v="Ajay"/>
  </r>
  <r>
    <s v="ORD1014"/>
    <x v="52"/>
    <n v="1001"/>
    <x v="12"/>
    <x v="0"/>
    <x v="3"/>
    <x v="0"/>
    <n v="9"/>
    <n v="9000"/>
    <n v="81000"/>
    <s v="Rohit"/>
  </r>
  <r>
    <s v="ORD1086"/>
    <x v="53"/>
    <n v="1013"/>
    <x v="9"/>
    <x v="3"/>
    <x v="3"/>
    <x v="0"/>
    <n v="9"/>
    <n v="9000"/>
    <n v="81000"/>
    <s v="Manish"/>
  </r>
  <r>
    <s v="ORD1092"/>
    <x v="54"/>
    <n v="1003"/>
    <x v="14"/>
    <x v="0"/>
    <x v="3"/>
    <x v="0"/>
    <n v="9"/>
    <n v="9000"/>
    <n v="81000"/>
    <s v="Aman"/>
  </r>
  <r>
    <s v="ORD1035"/>
    <x v="53"/>
    <n v="1011"/>
    <x v="17"/>
    <x v="3"/>
    <x v="2"/>
    <x v="0"/>
    <n v="4"/>
    <n v="18000"/>
    <n v="72000"/>
    <s v="Rahul"/>
  </r>
  <r>
    <s v="ORD1106"/>
    <x v="55"/>
    <n v="1008"/>
    <x v="10"/>
    <x v="3"/>
    <x v="3"/>
    <x v="0"/>
    <n v="8"/>
    <n v="9000"/>
    <n v="72000"/>
    <s v="Pooja"/>
  </r>
  <r>
    <s v="ORD1177"/>
    <x v="56"/>
    <n v="1019"/>
    <x v="2"/>
    <x v="2"/>
    <x v="3"/>
    <x v="0"/>
    <n v="8"/>
    <n v="9000"/>
    <n v="72000"/>
    <s v="Vivek"/>
  </r>
  <r>
    <s v="ORD1147"/>
    <x v="57"/>
    <n v="1008"/>
    <x v="10"/>
    <x v="3"/>
    <x v="4"/>
    <x v="0"/>
    <n v="11"/>
    <n v="6500"/>
    <n v="71500"/>
    <s v="Pooja"/>
  </r>
  <r>
    <s v="ORD1021"/>
    <x v="57"/>
    <n v="1003"/>
    <x v="14"/>
    <x v="0"/>
    <x v="1"/>
    <x v="0"/>
    <n v="3"/>
    <n v="22000"/>
    <n v="66000"/>
    <s v="Aman"/>
  </r>
  <r>
    <s v="ORD1163"/>
    <x v="58"/>
    <n v="1002"/>
    <x v="11"/>
    <x v="2"/>
    <x v="1"/>
    <x v="0"/>
    <n v="3"/>
    <n v="22000"/>
    <n v="66000"/>
    <s v="Priya"/>
  </r>
  <r>
    <s v="ORD1013"/>
    <x v="59"/>
    <n v="1004"/>
    <x v="13"/>
    <x v="0"/>
    <x v="3"/>
    <x v="0"/>
    <n v="7"/>
    <n v="9000"/>
    <n v="63000"/>
    <s v="Sneha"/>
  </r>
  <r>
    <s v="ORD1024"/>
    <x v="54"/>
    <n v="1007"/>
    <x v="5"/>
    <x v="3"/>
    <x v="3"/>
    <x v="0"/>
    <n v="7"/>
    <n v="9000"/>
    <n v="63000"/>
    <s v="Karan"/>
  </r>
  <r>
    <s v="ORD1088"/>
    <x v="60"/>
    <n v="1020"/>
    <x v="1"/>
    <x v="1"/>
    <x v="3"/>
    <x v="0"/>
    <n v="7"/>
    <n v="9000"/>
    <n v="63000"/>
    <s v="Shalini"/>
  </r>
  <r>
    <s v="ORD1150"/>
    <x v="61"/>
    <n v="1012"/>
    <x v="16"/>
    <x v="0"/>
    <x v="4"/>
    <x v="0"/>
    <n v="9"/>
    <n v="6500"/>
    <n v="58500"/>
    <s v="Kavita"/>
  </r>
  <r>
    <s v="ORD1077"/>
    <x v="37"/>
    <n v="1003"/>
    <x v="14"/>
    <x v="0"/>
    <x v="3"/>
    <x v="0"/>
    <n v="6"/>
    <n v="9000"/>
    <n v="54000"/>
    <s v="Aman"/>
  </r>
  <r>
    <s v="ORD1108"/>
    <x v="62"/>
    <n v="1018"/>
    <x v="18"/>
    <x v="2"/>
    <x v="2"/>
    <x v="0"/>
    <n v="3"/>
    <n v="18000"/>
    <n v="54000"/>
    <s v="Meena"/>
  </r>
  <r>
    <s v="ORD1140"/>
    <x v="25"/>
    <n v="1019"/>
    <x v="2"/>
    <x v="2"/>
    <x v="3"/>
    <x v="0"/>
    <n v="6"/>
    <n v="9000"/>
    <n v="54000"/>
    <s v="Vivek"/>
  </r>
  <r>
    <s v="ORD1040"/>
    <x v="8"/>
    <n v="1014"/>
    <x v="15"/>
    <x v="2"/>
    <x v="4"/>
    <x v="0"/>
    <n v="8"/>
    <n v="6500"/>
    <n v="52000"/>
    <s v="Divya"/>
  </r>
  <r>
    <s v="ORD1104"/>
    <x v="11"/>
    <n v="1006"/>
    <x v="4"/>
    <x v="1"/>
    <x v="4"/>
    <x v="0"/>
    <n v="8"/>
    <n v="6500"/>
    <n v="52000"/>
    <s v="Neha"/>
  </r>
  <r>
    <s v="ORD1139"/>
    <x v="27"/>
    <n v="1009"/>
    <x v="3"/>
    <x v="3"/>
    <x v="4"/>
    <x v="0"/>
    <n v="8"/>
    <n v="6500"/>
    <n v="52000"/>
    <s v="Suresh"/>
  </r>
  <r>
    <s v="ORD1160"/>
    <x v="47"/>
    <n v="1010"/>
    <x v="6"/>
    <x v="0"/>
    <x v="4"/>
    <x v="0"/>
    <n v="8"/>
    <n v="6500"/>
    <n v="52000"/>
    <s v="Anjali"/>
  </r>
  <r>
    <s v="ORD1096"/>
    <x v="40"/>
    <n v="1003"/>
    <x v="14"/>
    <x v="0"/>
    <x v="4"/>
    <x v="0"/>
    <n v="7"/>
    <n v="6500"/>
    <n v="45500"/>
    <s v="Aman"/>
  </r>
  <r>
    <s v="ORD1089"/>
    <x v="13"/>
    <n v="1001"/>
    <x v="12"/>
    <x v="0"/>
    <x v="3"/>
    <x v="0"/>
    <n v="5"/>
    <n v="9000"/>
    <n v="45000"/>
    <s v="Rohit"/>
  </r>
  <r>
    <s v="ORD1152"/>
    <x v="63"/>
    <n v="1009"/>
    <x v="3"/>
    <x v="3"/>
    <x v="3"/>
    <x v="0"/>
    <n v="5"/>
    <n v="9000"/>
    <n v="45000"/>
    <s v="Suresh"/>
  </r>
  <r>
    <s v="ORD1052"/>
    <x v="64"/>
    <n v="1010"/>
    <x v="6"/>
    <x v="0"/>
    <x v="4"/>
    <x v="0"/>
    <n v="6"/>
    <n v="6500"/>
    <n v="39000"/>
    <s v="Anjali"/>
  </r>
  <r>
    <s v="ORD1053"/>
    <x v="38"/>
    <n v="1015"/>
    <x v="7"/>
    <x v="2"/>
    <x v="2"/>
    <x v="0"/>
    <n v="2"/>
    <n v="18000"/>
    <n v="36000"/>
    <s v="Ajay"/>
  </r>
  <r>
    <s v="ORD1002"/>
    <x v="65"/>
    <n v="1002"/>
    <x v="11"/>
    <x v="2"/>
    <x v="5"/>
    <x v="1"/>
    <n v="14"/>
    <n v="2500"/>
    <n v="35000"/>
    <s v="Priya"/>
  </r>
  <r>
    <s v="ORD1061"/>
    <x v="66"/>
    <n v="1009"/>
    <x v="3"/>
    <x v="3"/>
    <x v="4"/>
    <x v="0"/>
    <n v="5"/>
    <n v="6500"/>
    <n v="32500"/>
    <s v="Suresh"/>
  </r>
  <r>
    <s v="ORD1094"/>
    <x v="67"/>
    <n v="1010"/>
    <x v="6"/>
    <x v="0"/>
    <x v="5"/>
    <x v="1"/>
    <n v="13"/>
    <n v="2500"/>
    <n v="32500"/>
    <s v="Anjali"/>
  </r>
  <r>
    <s v="ORD1165"/>
    <x v="2"/>
    <n v="1014"/>
    <x v="15"/>
    <x v="2"/>
    <x v="5"/>
    <x v="1"/>
    <n v="13"/>
    <n v="2500"/>
    <n v="32500"/>
    <s v="Divya"/>
  </r>
  <r>
    <s v="ORD1166"/>
    <x v="44"/>
    <n v="1015"/>
    <x v="7"/>
    <x v="2"/>
    <x v="4"/>
    <x v="0"/>
    <n v="5"/>
    <n v="6500"/>
    <n v="32500"/>
    <s v="Ajay"/>
  </r>
  <r>
    <s v="ORD1171"/>
    <x v="68"/>
    <n v="1020"/>
    <x v="1"/>
    <x v="1"/>
    <x v="4"/>
    <x v="0"/>
    <n v="5"/>
    <n v="6500"/>
    <n v="32500"/>
    <s v="Shalini"/>
  </r>
  <r>
    <s v="ORD1001"/>
    <x v="16"/>
    <n v="1018"/>
    <x v="18"/>
    <x v="2"/>
    <x v="5"/>
    <x v="1"/>
    <n v="11"/>
    <n v="2500"/>
    <n v="27500"/>
    <s v="Meena"/>
  </r>
  <r>
    <s v="ORD1068"/>
    <x v="69"/>
    <n v="1007"/>
    <x v="5"/>
    <x v="3"/>
    <x v="5"/>
    <x v="1"/>
    <n v="11"/>
    <n v="2500"/>
    <n v="27500"/>
    <s v="Karan"/>
  </r>
  <r>
    <s v="ORD1054"/>
    <x v="70"/>
    <n v="1017"/>
    <x v="19"/>
    <x v="3"/>
    <x v="3"/>
    <x v="0"/>
    <n v="3"/>
    <n v="9000"/>
    <n v="27000"/>
    <s v="Sanjay"/>
  </r>
  <r>
    <s v="ORD1063"/>
    <x v="71"/>
    <n v="1005"/>
    <x v="0"/>
    <x v="0"/>
    <x v="3"/>
    <x v="0"/>
    <n v="3"/>
    <n v="9000"/>
    <n v="27000"/>
    <s v="Vikas"/>
  </r>
  <r>
    <s v="ORD1031"/>
    <x v="72"/>
    <n v="1019"/>
    <x v="2"/>
    <x v="2"/>
    <x v="4"/>
    <x v="0"/>
    <n v="4"/>
    <n v="6500"/>
    <n v="26000"/>
    <s v="Vivek"/>
  </r>
  <r>
    <s v="ORD1037"/>
    <x v="56"/>
    <n v="1009"/>
    <x v="3"/>
    <x v="3"/>
    <x v="4"/>
    <x v="0"/>
    <n v="4"/>
    <n v="6500"/>
    <n v="26000"/>
    <s v="Suresh"/>
  </r>
  <r>
    <s v="ORD1027"/>
    <x v="73"/>
    <n v="1001"/>
    <x v="12"/>
    <x v="0"/>
    <x v="5"/>
    <x v="1"/>
    <n v="10"/>
    <n v="2500"/>
    <n v="25000"/>
    <s v="Rohit"/>
  </r>
  <r>
    <s v="ORD1030"/>
    <x v="74"/>
    <n v="1016"/>
    <x v="8"/>
    <x v="0"/>
    <x v="5"/>
    <x v="1"/>
    <n v="9"/>
    <n v="2500"/>
    <n v="22500"/>
    <s v="Ritu"/>
  </r>
  <r>
    <s v="ORD1046"/>
    <x v="75"/>
    <n v="1016"/>
    <x v="8"/>
    <x v="0"/>
    <x v="1"/>
    <x v="0"/>
    <n v="1"/>
    <n v="22000"/>
    <n v="22000"/>
    <s v="Ritu"/>
  </r>
  <r>
    <s v="ORD1115"/>
    <x v="32"/>
    <n v="1018"/>
    <x v="18"/>
    <x v="2"/>
    <x v="5"/>
    <x v="1"/>
    <n v="8"/>
    <n v="2500"/>
    <n v="20000"/>
    <s v="Meena"/>
  </r>
  <r>
    <s v="ORD1127"/>
    <x v="76"/>
    <n v="1004"/>
    <x v="13"/>
    <x v="0"/>
    <x v="5"/>
    <x v="1"/>
    <n v="8"/>
    <n v="2500"/>
    <n v="20000"/>
    <s v="Sneha"/>
  </r>
  <r>
    <s v="ORD1005"/>
    <x v="77"/>
    <n v="1013"/>
    <x v="9"/>
    <x v="3"/>
    <x v="4"/>
    <x v="0"/>
    <n v="3"/>
    <n v="6500"/>
    <n v="19500"/>
    <s v="Manish"/>
  </r>
  <r>
    <s v="ORD1036"/>
    <x v="78"/>
    <n v="1018"/>
    <x v="18"/>
    <x v="2"/>
    <x v="4"/>
    <x v="0"/>
    <n v="3"/>
    <n v="6500"/>
    <n v="19500"/>
    <s v="Meena"/>
  </r>
  <r>
    <s v="ORD1043"/>
    <x v="79"/>
    <n v="1014"/>
    <x v="15"/>
    <x v="2"/>
    <x v="4"/>
    <x v="0"/>
    <n v="3"/>
    <n v="6500"/>
    <n v="19500"/>
    <s v="Divya"/>
  </r>
  <r>
    <s v="ORD1101"/>
    <x v="80"/>
    <n v="1004"/>
    <x v="13"/>
    <x v="0"/>
    <x v="4"/>
    <x v="0"/>
    <n v="3"/>
    <n v="6500"/>
    <n v="19500"/>
    <s v="Sneha"/>
  </r>
  <r>
    <s v="ORD1120"/>
    <x v="81"/>
    <n v="1005"/>
    <x v="0"/>
    <x v="0"/>
    <x v="4"/>
    <x v="0"/>
    <n v="3"/>
    <n v="6500"/>
    <n v="19500"/>
    <s v="Vikas"/>
  </r>
  <r>
    <s v="ORD1034"/>
    <x v="82"/>
    <n v="1002"/>
    <x v="11"/>
    <x v="2"/>
    <x v="2"/>
    <x v="0"/>
    <n v="1"/>
    <n v="18000"/>
    <n v="18000"/>
    <s v="Priya"/>
  </r>
  <r>
    <s v="ORD1038"/>
    <x v="5"/>
    <n v="1018"/>
    <x v="18"/>
    <x v="2"/>
    <x v="2"/>
    <x v="0"/>
    <n v="1"/>
    <n v="18000"/>
    <n v="18000"/>
    <s v="Meena"/>
  </r>
  <r>
    <s v="ORD1058"/>
    <x v="83"/>
    <n v="1005"/>
    <x v="0"/>
    <x v="0"/>
    <x v="3"/>
    <x v="0"/>
    <n v="2"/>
    <n v="9000"/>
    <n v="18000"/>
    <s v="Vikas"/>
  </r>
  <r>
    <s v="ORD1155"/>
    <x v="79"/>
    <n v="1009"/>
    <x v="3"/>
    <x v="3"/>
    <x v="3"/>
    <x v="0"/>
    <n v="2"/>
    <n v="9000"/>
    <n v="18000"/>
    <s v="Suresh"/>
  </r>
  <r>
    <s v="ORD1083"/>
    <x v="46"/>
    <n v="1017"/>
    <x v="19"/>
    <x v="3"/>
    <x v="5"/>
    <x v="1"/>
    <n v="6"/>
    <n v="2500"/>
    <n v="15000"/>
    <s v="Sanjay"/>
  </r>
  <r>
    <s v="ORD1008"/>
    <x v="84"/>
    <n v="1017"/>
    <x v="19"/>
    <x v="3"/>
    <x v="4"/>
    <x v="0"/>
    <n v="2"/>
    <n v="6500"/>
    <n v="13000"/>
    <s v="Sanjay"/>
  </r>
  <r>
    <s v="ORD1179"/>
    <x v="85"/>
    <n v="1016"/>
    <x v="8"/>
    <x v="0"/>
    <x v="4"/>
    <x v="0"/>
    <n v="2"/>
    <n v="6500"/>
    <n v="13000"/>
    <s v="Ritu"/>
  </r>
  <r>
    <s v="ORD1051"/>
    <x v="12"/>
    <n v="1011"/>
    <x v="17"/>
    <x v="3"/>
    <x v="5"/>
    <x v="1"/>
    <n v="5"/>
    <n v="2500"/>
    <n v="12500"/>
    <s v="Rahul"/>
  </r>
  <r>
    <s v="ORD1072"/>
    <x v="20"/>
    <n v="1014"/>
    <x v="15"/>
    <x v="2"/>
    <x v="5"/>
    <x v="1"/>
    <n v="5"/>
    <n v="2500"/>
    <n v="12500"/>
    <s v="Divya"/>
  </r>
  <r>
    <s v="ORD1107"/>
    <x v="86"/>
    <n v="1010"/>
    <x v="6"/>
    <x v="0"/>
    <x v="5"/>
    <x v="1"/>
    <n v="5"/>
    <n v="2500"/>
    <n v="12500"/>
    <s v="Anjali"/>
  </r>
  <r>
    <s v="ORD1149"/>
    <x v="40"/>
    <n v="1013"/>
    <x v="9"/>
    <x v="3"/>
    <x v="5"/>
    <x v="1"/>
    <n v="5"/>
    <n v="2500"/>
    <n v="12500"/>
    <s v="Manish"/>
  </r>
  <r>
    <s v="ORD1168"/>
    <x v="87"/>
    <n v="1007"/>
    <x v="5"/>
    <x v="3"/>
    <x v="5"/>
    <x v="1"/>
    <n v="5"/>
    <n v="2500"/>
    <n v="12500"/>
    <s v="Karan"/>
  </r>
  <r>
    <s v="ORD1050"/>
    <x v="88"/>
    <n v="1019"/>
    <x v="2"/>
    <x v="2"/>
    <x v="6"/>
    <x v="1"/>
    <n v="15"/>
    <n v="800"/>
    <n v="12000"/>
    <s v="Vivek"/>
  </r>
  <r>
    <s v="ORD1067"/>
    <x v="69"/>
    <n v="1010"/>
    <x v="6"/>
    <x v="0"/>
    <x v="6"/>
    <x v="1"/>
    <n v="15"/>
    <n v="800"/>
    <n v="12000"/>
    <s v="Anjali"/>
  </r>
  <r>
    <s v="ORD1102"/>
    <x v="23"/>
    <n v="1017"/>
    <x v="19"/>
    <x v="3"/>
    <x v="6"/>
    <x v="1"/>
    <n v="13"/>
    <n v="800"/>
    <n v="10400"/>
    <s v="Sanjay"/>
  </r>
  <r>
    <s v="ORD1026"/>
    <x v="89"/>
    <n v="1004"/>
    <x v="13"/>
    <x v="0"/>
    <x v="5"/>
    <x v="1"/>
    <n v="4"/>
    <n v="2500"/>
    <n v="10000"/>
    <s v="Sneha"/>
  </r>
  <r>
    <s v="ORD1074"/>
    <x v="90"/>
    <n v="1016"/>
    <x v="8"/>
    <x v="0"/>
    <x v="5"/>
    <x v="1"/>
    <n v="4"/>
    <n v="2500"/>
    <n v="10000"/>
    <s v="Ritu"/>
  </r>
  <r>
    <s v="ORD1075"/>
    <x v="30"/>
    <n v="1010"/>
    <x v="6"/>
    <x v="0"/>
    <x v="5"/>
    <x v="1"/>
    <n v="4"/>
    <n v="2500"/>
    <n v="10000"/>
    <s v="Anjali"/>
  </r>
  <r>
    <s v="ORD1154"/>
    <x v="57"/>
    <n v="1006"/>
    <x v="4"/>
    <x v="1"/>
    <x v="5"/>
    <x v="1"/>
    <n v="4"/>
    <n v="2500"/>
    <n v="10000"/>
    <s v="Neha"/>
  </r>
  <r>
    <s v="ORD1080"/>
    <x v="91"/>
    <n v="1014"/>
    <x v="15"/>
    <x v="2"/>
    <x v="6"/>
    <x v="1"/>
    <n v="12"/>
    <n v="800"/>
    <n v="9600"/>
    <s v="Divya"/>
  </r>
  <r>
    <s v="ORD1062"/>
    <x v="89"/>
    <n v="1014"/>
    <x v="15"/>
    <x v="2"/>
    <x v="3"/>
    <x v="0"/>
    <n v="1"/>
    <n v="9000"/>
    <n v="9000"/>
    <s v="Divya"/>
  </r>
  <r>
    <s v="ORD1079"/>
    <x v="92"/>
    <n v="1006"/>
    <x v="4"/>
    <x v="1"/>
    <x v="3"/>
    <x v="0"/>
    <n v="1"/>
    <n v="9000"/>
    <n v="9000"/>
    <s v="Neha"/>
  </r>
  <r>
    <s v="ORD1084"/>
    <x v="83"/>
    <n v="1011"/>
    <x v="17"/>
    <x v="3"/>
    <x v="6"/>
    <x v="1"/>
    <n v="11"/>
    <n v="800"/>
    <n v="8800"/>
    <s v="Rahul"/>
  </r>
  <r>
    <s v="ORD1137"/>
    <x v="10"/>
    <n v="1014"/>
    <x v="15"/>
    <x v="2"/>
    <x v="6"/>
    <x v="1"/>
    <n v="11"/>
    <n v="800"/>
    <n v="8800"/>
    <s v="Divya"/>
  </r>
  <r>
    <s v="ORD1180"/>
    <x v="93"/>
    <n v="1014"/>
    <x v="15"/>
    <x v="2"/>
    <x v="6"/>
    <x v="1"/>
    <n v="10"/>
    <n v="800"/>
    <n v="8000"/>
    <s v="Divya"/>
  </r>
  <r>
    <s v="ORD1016"/>
    <x v="11"/>
    <n v="1020"/>
    <x v="1"/>
    <x v="1"/>
    <x v="5"/>
    <x v="1"/>
    <n v="3"/>
    <n v="2500"/>
    <n v="7500"/>
    <s v="Shalini"/>
  </r>
  <r>
    <s v="ORD1099"/>
    <x v="37"/>
    <n v="1014"/>
    <x v="15"/>
    <x v="2"/>
    <x v="5"/>
    <x v="1"/>
    <n v="3"/>
    <n v="2500"/>
    <n v="7500"/>
    <s v="Divya"/>
  </r>
  <r>
    <s v="ORD1169"/>
    <x v="75"/>
    <n v="1006"/>
    <x v="4"/>
    <x v="1"/>
    <x v="5"/>
    <x v="1"/>
    <n v="3"/>
    <n v="2500"/>
    <n v="7500"/>
    <s v="Neha"/>
  </r>
  <r>
    <s v="ORD1134"/>
    <x v="80"/>
    <n v="1002"/>
    <x v="11"/>
    <x v="2"/>
    <x v="6"/>
    <x v="1"/>
    <n v="9"/>
    <n v="800"/>
    <n v="7200"/>
    <s v="Priya"/>
  </r>
  <r>
    <s v="ORD1073"/>
    <x v="84"/>
    <n v="1004"/>
    <x v="13"/>
    <x v="0"/>
    <x v="7"/>
    <x v="1"/>
    <n v="14"/>
    <n v="500"/>
    <n v="7000"/>
    <s v="Sneha"/>
  </r>
  <r>
    <s v="ORD1103"/>
    <x v="48"/>
    <n v="1017"/>
    <x v="19"/>
    <x v="3"/>
    <x v="7"/>
    <x v="1"/>
    <n v="14"/>
    <n v="500"/>
    <n v="7000"/>
    <s v="Sanjay"/>
  </r>
  <r>
    <s v="ORD1136"/>
    <x v="15"/>
    <n v="1001"/>
    <x v="12"/>
    <x v="0"/>
    <x v="7"/>
    <x v="1"/>
    <n v="14"/>
    <n v="500"/>
    <n v="7000"/>
    <s v="Rohit"/>
  </r>
  <r>
    <s v="ORD1116"/>
    <x v="47"/>
    <n v="1014"/>
    <x v="15"/>
    <x v="2"/>
    <x v="4"/>
    <x v="0"/>
    <n v="1"/>
    <n v="6500"/>
    <n v="6500"/>
    <s v="Divya"/>
  </r>
  <r>
    <s v="ORD1123"/>
    <x v="5"/>
    <n v="1003"/>
    <x v="14"/>
    <x v="0"/>
    <x v="4"/>
    <x v="0"/>
    <n v="1"/>
    <n v="6500"/>
    <n v="6500"/>
    <s v="Aman"/>
  </r>
  <r>
    <s v="ORD1090"/>
    <x v="94"/>
    <n v="1019"/>
    <x v="2"/>
    <x v="2"/>
    <x v="6"/>
    <x v="1"/>
    <n v="8"/>
    <n v="800"/>
    <n v="6400"/>
    <s v="Vivek"/>
  </r>
  <r>
    <s v="ORD1033"/>
    <x v="94"/>
    <n v="1014"/>
    <x v="15"/>
    <x v="2"/>
    <x v="6"/>
    <x v="1"/>
    <n v="7"/>
    <n v="800"/>
    <n v="5600"/>
    <s v="Divya"/>
  </r>
  <r>
    <s v="ORD1087"/>
    <x v="51"/>
    <n v="1014"/>
    <x v="15"/>
    <x v="2"/>
    <x v="7"/>
    <x v="1"/>
    <n v="11"/>
    <n v="500"/>
    <n v="5500"/>
    <s v="Divya"/>
  </r>
  <r>
    <s v="ORD1032"/>
    <x v="30"/>
    <n v="1014"/>
    <x v="15"/>
    <x v="2"/>
    <x v="5"/>
    <x v="1"/>
    <n v="2"/>
    <n v="2500"/>
    <n v="5000"/>
    <s v="Divya"/>
  </r>
  <r>
    <s v="ORD1069"/>
    <x v="95"/>
    <n v="1018"/>
    <x v="18"/>
    <x v="2"/>
    <x v="7"/>
    <x v="1"/>
    <n v="10"/>
    <n v="500"/>
    <n v="5000"/>
    <s v="Meena"/>
  </r>
  <r>
    <s v="ORD1131"/>
    <x v="96"/>
    <n v="1013"/>
    <x v="9"/>
    <x v="3"/>
    <x v="5"/>
    <x v="1"/>
    <n v="2"/>
    <n v="2500"/>
    <n v="5000"/>
    <s v="Manish"/>
  </r>
  <r>
    <s v="ORD1164"/>
    <x v="97"/>
    <n v="1003"/>
    <x v="14"/>
    <x v="0"/>
    <x v="5"/>
    <x v="1"/>
    <n v="2"/>
    <n v="2500"/>
    <n v="5000"/>
    <s v="Aman"/>
  </r>
  <r>
    <s v="ORD1151"/>
    <x v="71"/>
    <n v="1014"/>
    <x v="15"/>
    <x v="2"/>
    <x v="6"/>
    <x v="1"/>
    <n v="6"/>
    <n v="800"/>
    <n v="4800"/>
    <s v="Divya"/>
  </r>
  <r>
    <s v="ORD1064"/>
    <x v="98"/>
    <n v="1018"/>
    <x v="18"/>
    <x v="2"/>
    <x v="7"/>
    <x v="1"/>
    <n v="9"/>
    <n v="500"/>
    <n v="4500"/>
    <s v="Meena"/>
  </r>
  <r>
    <s v="ORD1114"/>
    <x v="99"/>
    <n v="1013"/>
    <x v="9"/>
    <x v="3"/>
    <x v="7"/>
    <x v="1"/>
    <n v="9"/>
    <n v="500"/>
    <n v="4500"/>
    <s v="Manish"/>
  </r>
  <r>
    <s v="ORD1055"/>
    <x v="59"/>
    <n v="1008"/>
    <x v="10"/>
    <x v="3"/>
    <x v="6"/>
    <x v="1"/>
    <n v="5"/>
    <n v="800"/>
    <n v="4000"/>
    <s v="Pooja"/>
  </r>
  <r>
    <s v="ORD1097"/>
    <x v="36"/>
    <n v="1007"/>
    <x v="5"/>
    <x v="3"/>
    <x v="7"/>
    <x v="1"/>
    <n v="8"/>
    <n v="500"/>
    <n v="4000"/>
    <s v="Karan"/>
  </r>
  <r>
    <s v="ORD1144"/>
    <x v="96"/>
    <n v="1009"/>
    <x v="3"/>
    <x v="3"/>
    <x v="6"/>
    <x v="1"/>
    <n v="5"/>
    <n v="800"/>
    <n v="4000"/>
    <s v="Suresh"/>
  </r>
  <r>
    <s v="ORD1146"/>
    <x v="97"/>
    <n v="1008"/>
    <x v="10"/>
    <x v="3"/>
    <x v="7"/>
    <x v="1"/>
    <n v="8"/>
    <n v="500"/>
    <n v="4000"/>
    <s v="Pooja"/>
  </r>
  <r>
    <s v="ORD1162"/>
    <x v="19"/>
    <n v="1003"/>
    <x v="14"/>
    <x v="0"/>
    <x v="7"/>
    <x v="1"/>
    <n v="8"/>
    <n v="500"/>
    <n v="4000"/>
    <s v="Aman"/>
  </r>
  <r>
    <s v="ORD1004"/>
    <x v="57"/>
    <n v="1019"/>
    <x v="2"/>
    <x v="2"/>
    <x v="6"/>
    <x v="1"/>
    <n v="4"/>
    <n v="800"/>
    <n v="3200"/>
    <s v="Vivek"/>
  </r>
  <r>
    <s v="ORD1060"/>
    <x v="54"/>
    <n v="1007"/>
    <x v="5"/>
    <x v="3"/>
    <x v="6"/>
    <x v="1"/>
    <n v="4"/>
    <n v="800"/>
    <n v="3200"/>
    <s v="Karan"/>
  </r>
  <r>
    <s v="ORD1121"/>
    <x v="47"/>
    <n v="1013"/>
    <x v="9"/>
    <x v="3"/>
    <x v="6"/>
    <x v="1"/>
    <n v="4"/>
    <n v="800"/>
    <n v="3200"/>
    <s v="Manish"/>
  </r>
  <r>
    <s v="ORD1124"/>
    <x v="87"/>
    <n v="1002"/>
    <x v="11"/>
    <x v="2"/>
    <x v="6"/>
    <x v="1"/>
    <n v="4"/>
    <n v="800"/>
    <n v="3200"/>
    <s v="Priya"/>
  </r>
  <r>
    <s v="ORD1007"/>
    <x v="67"/>
    <n v="1019"/>
    <x v="2"/>
    <x v="2"/>
    <x v="7"/>
    <x v="1"/>
    <n v="6"/>
    <n v="500"/>
    <n v="3000"/>
    <s v="Vivek"/>
  </r>
  <r>
    <s v="ORD1076"/>
    <x v="28"/>
    <n v="1007"/>
    <x v="5"/>
    <x v="3"/>
    <x v="7"/>
    <x v="1"/>
    <n v="6"/>
    <n v="500"/>
    <n v="3000"/>
    <s v="Karan"/>
  </r>
  <r>
    <s v="ORD1110"/>
    <x v="48"/>
    <n v="1014"/>
    <x v="15"/>
    <x v="2"/>
    <x v="7"/>
    <x v="1"/>
    <n v="6"/>
    <n v="500"/>
    <n v="3000"/>
    <s v="Divya"/>
  </r>
  <r>
    <s v="ORD1142"/>
    <x v="100"/>
    <n v="1015"/>
    <x v="7"/>
    <x v="2"/>
    <x v="7"/>
    <x v="1"/>
    <n v="6"/>
    <n v="500"/>
    <n v="3000"/>
    <s v="Ajay"/>
  </r>
  <r>
    <s v="ORD1003"/>
    <x v="101"/>
    <n v="1011"/>
    <x v="17"/>
    <x v="3"/>
    <x v="7"/>
    <x v="1"/>
    <n v="5"/>
    <n v="500"/>
    <n v="2500"/>
    <s v="Rahul"/>
  </r>
  <r>
    <s v="ORD1019"/>
    <x v="102"/>
    <n v="1010"/>
    <x v="6"/>
    <x v="0"/>
    <x v="5"/>
    <x v="1"/>
    <n v="1"/>
    <n v="2500"/>
    <n v="2500"/>
    <s v="Anjali"/>
  </r>
  <r>
    <s v="ORD1122"/>
    <x v="103"/>
    <n v="1011"/>
    <x v="17"/>
    <x v="3"/>
    <x v="7"/>
    <x v="1"/>
    <n v="5"/>
    <n v="500"/>
    <n v="2500"/>
    <s v="Rahul"/>
  </r>
  <r>
    <s v="ORD1178"/>
    <x v="104"/>
    <n v="1010"/>
    <x v="6"/>
    <x v="0"/>
    <x v="7"/>
    <x v="1"/>
    <n v="5"/>
    <n v="500"/>
    <n v="2500"/>
    <s v="Anjali"/>
  </r>
  <r>
    <s v="ORD1156"/>
    <x v="93"/>
    <n v="1008"/>
    <x v="10"/>
    <x v="3"/>
    <x v="6"/>
    <x v="1"/>
    <n v="3"/>
    <n v="800"/>
    <n v="2400"/>
    <s v="Pooja"/>
  </r>
  <r>
    <s v="ORD1023"/>
    <x v="97"/>
    <n v="1020"/>
    <x v="1"/>
    <x v="1"/>
    <x v="7"/>
    <x v="1"/>
    <n v="4"/>
    <n v="500"/>
    <n v="2000"/>
    <s v="Shalini"/>
  </r>
  <r>
    <s v="ORD1093"/>
    <x v="105"/>
    <n v="1020"/>
    <x v="1"/>
    <x v="1"/>
    <x v="6"/>
    <x v="1"/>
    <n v="2"/>
    <n v="800"/>
    <n v="1600"/>
    <s v="Shalini"/>
  </r>
  <r>
    <s v="ORD1153"/>
    <x v="5"/>
    <n v="1007"/>
    <x v="5"/>
    <x v="3"/>
    <x v="6"/>
    <x v="1"/>
    <n v="2"/>
    <n v="800"/>
    <n v="1600"/>
    <s v="Karan"/>
  </r>
  <r>
    <s v="ORD1138"/>
    <x v="37"/>
    <n v="1005"/>
    <x v="0"/>
    <x v="0"/>
    <x v="7"/>
    <x v="1"/>
    <n v="3"/>
    <n v="500"/>
    <n v="1500"/>
    <s v="Vikas"/>
  </r>
  <r>
    <s v="ORD1048"/>
    <x v="106"/>
    <n v="1008"/>
    <x v="10"/>
    <x v="3"/>
    <x v="7"/>
    <x v="1"/>
    <n v="2"/>
    <n v="500"/>
    <n v="1000"/>
    <s v="Pooja"/>
  </r>
  <r>
    <s v="ORD1174"/>
    <x v="106"/>
    <n v="1007"/>
    <x v="5"/>
    <x v="3"/>
    <x v="7"/>
    <x v="1"/>
    <n v="2"/>
    <n v="500"/>
    <n v="1000"/>
    <s v="Karan"/>
  </r>
  <r>
    <s v="ORD1045"/>
    <x v="19"/>
    <n v="1002"/>
    <x v="11"/>
    <x v="2"/>
    <x v="6"/>
    <x v="1"/>
    <n v="1"/>
    <n v="800"/>
    <n v="800"/>
    <s v="Priya"/>
  </r>
  <r>
    <s v="ORD1078"/>
    <x v="81"/>
    <n v="1013"/>
    <x v="9"/>
    <x v="3"/>
    <x v="6"/>
    <x v="1"/>
    <n v="1"/>
    <n v="800"/>
    <n v="800"/>
    <s v="Manis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666B62-4A05-4472-BAC8-240D8FEC0BA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2">
    <pivotField showAll="0"/>
    <pivotField showAll="0">
      <items count="108">
        <item x="64"/>
        <item x="22"/>
        <item x="66"/>
        <item x="98"/>
        <item x="101"/>
        <item x="68"/>
        <item x="81"/>
        <item x="89"/>
        <item x="69"/>
        <item x="6"/>
        <item x="56"/>
        <item x="100"/>
        <item x="19"/>
        <item x="92"/>
        <item x="30"/>
        <item x="55"/>
        <item x="83"/>
        <item x="0"/>
        <item x="65"/>
        <item x="29"/>
        <item x="84"/>
        <item x="73"/>
        <item x="34"/>
        <item x="9"/>
        <item x="63"/>
        <item x="67"/>
        <item x="17"/>
        <item x="53"/>
        <item x="62"/>
        <item x="32"/>
        <item x="79"/>
        <item x="31"/>
        <item x="13"/>
        <item x="59"/>
        <item x="50"/>
        <item x="52"/>
        <item x="102"/>
        <item x="45"/>
        <item x="105"/>
        <item x="74"/>
        <item x="20"/>
        <item x="25"/>
        <item x="8"/>
        <item x="93"/>
        <item x="70"/>
        <item x="77"/>
        <item x="88"/>
        <item x="43"/>
        <item x="86"/>
        <item x="91"/>
        <item x="4"/>
        <item x="14"/>
        <item x="11"/>
        <item x="18"/>
        <item x="16"/>
        <item x="28"/>
        <item x="3"/>
        <item x="46"/>
        <item x="15"/>
        <item x="12"/>
        <item x="78"/>
        <item x="36"/>
        <item x="103"/>
        <item x="35"/>
        <item x="47"/>
        <item x="90"/>
        <item x="24"/>
        <item x="94"/>
        <item x="1"/>
        <item x="23"/>
        <item x="80"/>
        <item x="10"/>
        <item x="82"/>
        <item x="72"/>
        <item x="27"/>
        <item x="85"/>
        <item x="75"/>
        <item x="38"/>
        <item x="106"/>
        <item x="58"/>
        <item x="61"/>
        <item x="2"/>
        <item x="44"/>
        <item x="48"/>
        <item x="39"/>
        <item x="104"/>
        <item x="96"/>
        <item x="26"/>
        <item x="97"/>
        <item x="21"/>
        <item x="60"/>
        <item x="41"/>
        <item x="87"/>
        <item x="7"/>
        <item x="95"/>
        <item x="51"/>
        <item x="76"/>
        <item x="33"/>
        <item x="49"/>
        <item x="42"/>
        <item x="71"/>
        <item x="57"/>
        <item x="37"/>
        <item x="5"/>
        <item x="40"/>
        <item x="54"/>
        <item x="99"/>
        <item t="default"/>
      </items>
    </pivotField>
    <pivotField showAll="0"/>
    <pivotField showAll="0"/>
    <pivotField axis="axisRow" showAll="0">
      <items count="5">
        <item x="3"/>
        <item x="0"/>
        <item x="2"/>
        <item x="1"/>
        <item t="default"/>
      </items>
    </pivotField>
    <pivotField showAll="0"/>
    <pivotField showAll="0"/>
    <pivotField showAll="0"/>
    <pivotField showAll="0"/>
    <pivotField dataField="1" numFmtId="164" showAll="0"/>
    <pivotField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Amoun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496B5B-B3CD-4FBF-9E36-EB777626A1E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12">
    <pivotField showAll="0"/>
    <pivotField showAll="0">
      <items count="108">
        <item x="64"/>
        <item x="22"/>
        <item x="66"/>
        <item x="98"/>
        <item x="101"/>
        <item x="68"/>
        <item x="81"/>
        <item x="89"/>
        <item x="69"/>
        <item x="6"/>
        <item x="56"/>
        <item x="100"/>
        <item x="19"/>
        <item x="92"/>
        <item x="30"/>
        <item x="55"/>
        <item x="83"/>
        <item x="0"/>
        <item x="65"/>
        <item x="29"/>
        <item x="84"/>
        <item x="73"/>
        <item x="34"/>
        <item x="9"/>
        <item x="63"/>
        <item x="67"/>
        <item x="17"/>
        <item x="53"/>
        <item x="62"/>
        <item x="32"/>
        <item x="79"/>
        <item x="31"/>
        <item x="13"/>
        <item x="59"/>
        <item x="50"/>
        <item x="52"/>
        <item x="102"/>
        <item x="45"/>
        <item x="105"/>
        <item x="74"/>
        <item x="20"/>
        <item x="25"/>
        <item x="8"/>
        <item x="93"/>
        <item x="70"/>
        <item x="77"/>
        <item x="88"/>
        <item x="43"/>
        <item x="86"/>
        <item x="91"/>
        <item x="4"/>
        <item x="14"/>
        <item x="11"/>
        <item x="18"/>
        <item x="16"/>
        <item x="28"/>
        <item x="3"/>
        <item x="46"/>
        <item x="15"/>
        <item x="12"/>
        <item x="78"/>
        <item x="36"/>
        <item x="103"/>
        <item x="35"/>
        <item x="47"/>
        <item x="90"/>
        <item x="24"/>
        <item x="94"/>
        <item x="1"/>
        <item x="23"/>
        <item x="80"/>
        <item x="10"/>
        <item x="82"/>
        <item x="72"/>
        <item x="27"/>
        <item x="85"/>
        <item x="75"/>
        <item x="38"/>
        <item x="106"/>
        <item x="58"/>
        <item x="61"/>
        <item x="2"/>
        <item x="44"/>
        <item x="48"/>
        <item x="39"/>
        <item x="104"/>
        <item x="96"/>
        <item x="26"/>
        <item x="97"/>
        <item x="21"/>
        <item x="60"/>
        <item x="41"/>
        <item x="87"/>
        <item x="7"/>
        <item x="95"/>
        <item x="51"/>
        <item x="76"/>
        <item x="33"/>
        <item x="49"/>
        <item x="42"/>
        <item x="71"/>
        <item x="57"/>
        <item x="37"/>
        <item x="5"/>
        <item x="40"/>
        <item x="54"/>
        <item x="99"/>
        <item t="default"/>
      </items>
    </pivotField>
    <pivotField showAll="0"/>
    <pivotField showAll="0"/>
    <pivotField showAll="0"/>
    <pivotField axis="axisRow" showAll="0" sortType="descending">
      <items count="9">
        <item x="5"/>
        <item x="6"/>
        <item x="0"/>
        <item x="2"/>
        <item x="3"/>
        <item x="7"/>
        <item x="4"/>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64" showAll="0"/>
    <pivotField showAll="0"/>
    <pivotField showAll="0">
      <items count="15">
        <item x="0"/>
        <item x="1"/>
        <item x="2"/>
        <item x="3"/>
        <item x="4"/>
        <item x="5"/>
        <item x="6"/>
        <item x="7"/>
        <item x="8"/>
        <item x="9"/>
        <item x="10"/>
        <item x="11"/>
        <item x="12"/>
        <item x="13"/>
        <item t="default"/>
      </items>
    </pivotField>
  </pivotFields>
  <rowFields count="1">
    <field x="5"/>
  </rowFields>
  <rowItems count="9">
    <i>
      <x v="4"/>
    </i>
    <i>
      <x/>
    </i>
    <i>
      <x v="2"/>
    </i>
    <i>
      <x v="5"/>
    </i>
    <i>
      <x v="1"/>
    </i>
    <i>
      <x v="7"/>
    </i>
    <i>
      <x v="6"/>
    </i>
    <i>
      <x v="3"/>
    </i>
    <i t="grand">
      <x/>
    </i>
  </rowItems>
  <colItems count="1">
    <i/>
  </colItems>
  <dataFields count="1">
    <dataField name="Sum of Unit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299099-7AE7-4965-B746-419B24374CE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1" firstDataRow="2" firstDataCol="1"/>
  <pivotFields count="12">
    <pivotField showAll="0"/>
    <pivotField showAll="0">
      <items count="108">
        <item x="64"/>
        <item x="22"/>
        <item x="66"/>
        <item x="98"/>
        <item x="101"/>
        <item x="68"/>
        <item x="81"/>
        <item x="89"/>
        <item x="69"/>
        <item x="6"/>
        <item x="56"/>
        <item x="100"/>
        <item x="19"/>
        <item x="92"/>
        <item x="30"/>
        <item x="55"/>
        <item x="83"/>
        <item x="0"/>
        <item x="65"/>
        <item x="29"/>
        <item x="84"/>
        <item x="73"/>
        <item x="34"/>
        <item x="9"/>
        <item x="63"/>
        <item x="67"/>
        <item x="17"/>
        <item x="53"/>
        <item x="62"/>
        <item x="32"/>
        <item x="79"/>
        <item x="31"/>
        <item x="13"/>
        <item x="59"/>
        <item x="50"/>
        <item x="52"/>
        <item x="102"/>
        <item x="45"/>
        <item x="105"/>
        <item x="74"/>
        <item x="20"/>
        <item x="25"/>
        <item x="8"/>
        <item x="93"/>
        <item x="70"/>
        <item x="77"/>
        <item x="88"/>
        <item x="43"/>
        <item x="86"/>
        <item x="91"/>
        <item x="4"/>
        <item x="14"/>
        <item x="11"/>
        <item x="18"/>
        <item x="16"/>
        <item x="28"/>
        <item x="3"/>
        <item x="46"/>
        <item x="15"/>
        <item x="12"/>
        <item x="78"/>
        <item x="36"/>
        <item x="103"/>
        <item x="35"/>
        <item x="47"/>
        <item x="90"/>
        <item x="24"/>
        <item x="94"/>
        <item x="1"/>
        <item x="23"/>
        <item x="80"/>
        <item x="10"/>
        <item x="82"/>
        <item x="72"/>
        <item x="27"/>
        <item x="85"/>
        <item x="75"/>
        <item x="38"/>
        <item x="106"/>
        <item x="58"/>
        <item x="61"/>
        <item x="2"/>
        <item x="44"/>
        <item x="48"/>
        <item x="39"/>
        <item x="104"/>
        <item x="96"/>
        <item x="26"/>
        <item x="97"/>
        <item x="21"/>
        <item x="60"/>
        <item x="41"/>
        <item x="87"/>
        <item x="7"/>
        <item x="95"/>
        <item x="51"/>
        <item x="76"/>
        <item x="33"/>
        <item x="49"/>
        <item x="42"/>
        <item x="71"/>
        <item x="57"/>
        <item x="37"/>
        <item x="5"/>
        <item x="40"/>
        <item x="54"/>
        <item x="99"/>
        <item t="default"/>
      </items>
    </pivotField>
    <pivotField showAll="0"/>
    <pivotField showAll="0"/>
    <pivotField axis="axisRow" showAll="0">
      <items count="5">
        <item x="3"/>
        <item x="0"/>
        <item x="2"/>
        <item x="1"/>
        <item t="default"/>
      </items>
    </pivotField>
    <pivotField showAll="0"/>
    <pivotField axis="axisCol" showAll="0">
      <items count="3">
        <item x="1"/>
        <item x="0"/>
        <item t="default"/>
      </items>
    </pivotField>
    <pivotField showAll="0"/>
    <pivotField showAll="0"/>
    <pivotField dataField="1" numFmtId="164" showAll="0"/>
    <pivotField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Fields count="1">
    <field x="6"/>
  </colFields>
  <colItems count="3">
    <i>
      <x/>
    </i>
    <i>
      <x v="1"/>
    </i>
    <i t="grand">
      <x/>
    </i>
  </colItems>
  <dataFields count="1">
    <dataField name="Sum of SalesAmoun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43F810-6441-46AE-9404-99FF8EB9372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0" firstHeaderRow="1" firstDataRow="1" firstDataCol="1"/>
  <pivotFields count="12">
    <pivotField showAll="0"/>
    <pivotField showAll="0">
      <items count="108">
        <item x="64"/>
        <item x="22"/>
        <item x="66"/>
        <item x="98"/>
        <item x="101"/>
        <item x="68"/>
        <item x="81"/>
        <item x="89"/>
        <item x="69"/>
        <item x="6"/>
        <item x="56"/>
        <item x="100"/>
        <item x="19"/>
        <item x="92"/>
        <item x="30"/>
        <item x="55"/>
        <item x="83"/>
        <item x="0"/>
        <item x="65"/>
        <item x="29"/>
        <item x="84"/>
        <item x="73"/>
        <item x="34"/>
        <item x="9"/>
        <item x="63"/>
        <item x="67"/>
        <item x="17"/>
        <item x="53"/>
        <item x="62"/>
        <item x="32"/>
        <item x="79"/>
        <item x="31"/>
        <item x="13"/>
        <item x="59"/>
        <item x="50"/>
        <item x="52"/>
        <item x="102"/>
        <item x="45"/>
        <item x="105"/>
        <item x="74"/>
        <item x="20"/>
        <item x="25"/>
        <item x="8"/>
        <item x="93"/>
        <item x="70"/>
        <item x="77"/>
        <item x="88"/>
        <item x="43"/>
        <item x="86"/>
        <item x="91"/>
        <item x="4"/>
        <item x="14"/>
        <item x="11"/>
        <item x="18"/>
        <item x="16"/>
        <item x="28"/>
        <item x="3"/>
        <item x="46"/>
        <item x="15"/>
        <item x="12"/>
        <item x="78"/>
        <item x="36"/>
        <item x="103"/>
        <item x="35"/>
        <item x="47"/>
        <item x="90"/>
        <item x="24"/>
        <item x="94"/>
        <item x="1"/>
        <item x="23"/>
        <item x="80"/>
        <item x="10"/>
        <item x="82"/>
        <item x="72"/>
        <item x="27"/>
        <item x="85"/>
        <item x="75"/>
        <item x="38"/>
        <item x="106"/>
        <item x="58"/>
        <item x="61"/>
        <item x="2"/>
        <item x="44"/>
        <item x="48"/>
        <item x="39"/>
        <item x="104"/>
        <item x="96"/>
        <item x="26"/>
        <item x="97"/>
        <item x="21"/>
        <item x="60"/>
        <item x="41"/>
        <item x="87"/>
        <item x="7"/>
        <item x="95"/>
        <item x="51"/>
        <item x="76"/>
        <item x="33"/>
        <item x="49"/>
        <item x="42"/>
        <item x="71"/>
        <item x="57"/>
        <item x="37"/>
        <item x="5"/>
        <item x="40"/>
        <item x="54"/>
        <item x="99"/>
        <item t="default"/>
      </items>
    </pivotField>
    <pivotField showAll="0"/>
    <pivotField showAll="0"/>
    <pivotField showAll="0"/>
    <pivotField showAll="0"/>
    <pivotField showAll="0"/>
    <pivotField showAll="0"/>
    <pivotField showAll="0"/>
    <pivotField dataField="1" numFmtId="164" showAll="0"/>
    <pivotField showAll="0"/>
    <pivotField axis="axisRow" showAll="0">
      <items count="15">
        <item x="0"/>
        <item x="1"/>
        <item x="2"/>
        <item x="3"/>
        <item x="4"/>
        <item x="5"/>
        <item x="6"/>
        <item x="7"/>
        <item x="8"/>
        <item x="9"/>
        <item x="10"/>
        <item x="11"/>
        <item x="12"/>
        <item x="13"/>
        <item t="default"/>
      </items>
    </pivotField>
  </pivotFields>
  <rowFields count="1">
    <field x="11"/>
  </rowFields>
  <rowItems count="7">
    <i>
      <x v="1"/>
    </i>
    <i>
      <x v="2"/>
    </i>
    <i>
      <x v="3"/>
    </i>
    <i>
      <x v="4"/>
    </i>
    <i>
      <x v="5"/>
    </i>
    <i>
      <x v="6"/>
    </i>
    <i t="grand">
      <x/>
    </i>
  </rowItems>
  <colItems count="1">
    <i/>
  </colItems>
  <dataFields count="1">
    <dataField name="Sum of SalesAmount" fld="9"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5E7331-A269-4D90-8C1F-2508A5A0E50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4" firstHeaderRow="0" firstDataRow="1" firstDataCol="1"/>
  <pivotFields count="12">
    <pivotField dataField="1" showAll="0"/>
    <pivotField numFmtId="14" showAll="0">
      <items count="108">
        <item x="64"/>
        <item x="22"/>
        <item x="66"/>
        <item x="98"/>
        <item x="101"/>
        <item x="68"/>
        <item x="81"/>
        <item x="89"/>
        <item x="69"/>
        <item x="6"/>
        <item x="56"/>
        <item x="100"/>
        <item x="19"/>
        <item x="92"/>
        <item x="30"/>
        <item x="55"/>
        <item x="83"/>
        <item x="0"/>
        <item x="65"/>
        <item x="29"/>
        <item x="84"/>
        <item x="73"/>
        <item x="34"/>
        <item x="9"/>
        <item x="63"/>
        <item x="67"/>
        <item x="17"/>
        <item x="53"/>
        <item x="62"/>
        <item x="32"/>
        <item x="79"/>
        <item x="31"/>
        <item x="13"/>
        <item x="59"/>
        <item x="50"/>
        <item x="52"/>
        <item x="102"/>
        <item x="45"/>
        <item x="105"/>
        <item x="74"/>
        <item x="20"/>
        <item x="25"/>
        <item x="8"/>
        <item x="93"/>
        <item x="70"/>
        <item x="77"/>
        <item x="88"/>
        <item x="43"/>
        <item x="86"/>
        <item x="91"/>
        <item x="4"/>
        <item x="14"/>
        <item x="11"/>
        <item x="18"/>
        <item x="16"/>
        <item x="28"/>
        <item x="3"/>
        <item x="46"/>
        <item x="15"/>
        <item x="12"/>
        <item x="78"/>
        <item x="36"/>
        <item x="103"/>
        <item x="35"/>
        <item x="47"/>
        <item x="90"/>
        <item x="24"/>
        <item x="94"/>
        <item x="1"/>
        <item x="23"/>
        <item x="80"/>
        <item x="10"/>
        <item x="82"/>
        <item x="72"/>
        <item x="27"/>
        <item x="85"/>
        <item x="75"/>
        <item x="38"/>
        <item x="106"/>
        <item x="58"/>
        <item x="61"/>
        <item x="2"/>
        <item x="44"/>
        <item x="48"/>
        <item x="39"/>
        <item x="104"/>
        <item x="96"/>
        <item x="26"/>
        <item x="97"/>
        <item x="21"/>
        <item x="60"/>
        <item x="41"/>
        <item x="87"/>
        <item x="7"/>
        <item x="95"/>
        <item x="51"/>
        <item x="76"/>
        <item x="33"/>
        <item x="49"/>
        <item x="42"/>
        <item x="71"/>
        <item x="57"/>
        <item x="37"/>
        <item x="5"/>
        <item x="40"/>
        <item x="54"/>
        <item x="99"/>
        <item t="default"/>
      </items>
    </pivotField>
    <pivotField showAll="0"/>
    <pivotField axis="axisRow" showAll="0" sortType="descending">
      <items count="21">
        <item x="7"/>
        <item x="14"/>
        <item x="6"/>
        <item x="15"/>
        <item x="5"/>
        <item x="16"/>
        <item x="9"/>
        <item x="18"/>
        <item x="4"/>
        <item x="10"/>
        <item x="11"/>
        <item x="17"/>
        <item x="8"/>
        <item x="12"/>
        <item x="19"/>
        <item x="1"/>
        <item x="13"/>
        <item x="3"/>
        <item x="0"/>
        <item x="2"/>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dataField="1" numFmtId="164" showAll="0"/>
    <pivotField showAll="0"/>
    <pivotField showAll="0" defaultSubtotal="0">
      <items count="14">
        <item x="0"/>
        <item x="1"/>
        <item x="2"/>
        <item x="3"/>
        <item x="4"/>
        <item x="5"/>
        <item x="6"/>
        <item x="7"/>
        <item x="8"/>
        <item x="9"/>
        <item x="10"/>
        <item x="11"/>
        <item x="12"/>
        <item x="13"/>
      </items>
    </pivotField>
  </pivotFields>
  <rowFields count="1">
    <field x="3"/>
  </rowFields>
  <rowItems count="21">
    <i>
      <x v="19"/>
    </i>
    <i>
      <x v="13"/>
    </i>
    <i>
      <x v="8"/>
    </i>
    <i>
      <x v="17"/>
    </i>
    <i>
      <x v="15"/>
    </i>
    <i>
      <x v="1"/>
    </i>
    <i>
      <x v="18"/>
    </i>
    <i>
      <x v="9"/>
    </i>
    <i>
      <x v="6"/>
    </i>
    <i>
      <x v="2"/>
    </i>
    <i>
      <x/>
    </i>
    <i>
      <x v="4"/>
    </i>
    <i>
      <x v="16"/>
    </i>
    <i>
      <x v="5"/>
    </i>
    <i>
      <x v="7"/>
    </i>
    <i>
      <x v="12"/>
    </i>
    <i>
      <x v="10"/>
    </i>
    <i>
      <x v="3"/>
    </i>
    <i>
      <x v="11"/>
    </i>
    <i>
      <x v="14"/>
    </i>
    <i t="grand">
      <x/>
    </i>
  </rowItems>
  <colFields count="1">
    <field x="-2"/>
  </colFields>
  <colItems count="2">
    <i>
      <x/>
    </i>
    <i i="1">
      <x v="1"/>
    </i>
  </colItems>
  <dataFields count="2">
    <dataField name="Count of OrderID" fld="0" subtotal="count" baseField="0" baseItem="0"/>
    <dataField name="Sum of SalesAmoun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E985AC-6BA8-4F39-B84F-CF8E0C2FEC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6:C11" firstHeaderRow="1" firstDataRow="1" firstDataCol="1"/>
  <pivotFields count="12">
    <pivotField showAll="0"/>
    <pivotField showAll="0">
      <items count="108">
        <item x="64"/>
        <item x="22"/>
        <item x="66"/>
        <item x="98"/>
        <item x="101"/>
        <item x="68"/>
        <item x="81"/>
        <item x="89"/>
        <item x="69"/>
        <item x="6"/>
        <item x="56"/>
        <item x="100"/>
        <item x="19"/>
        <item x="92"/>
        <item x="30"/>
        <item x="55"/>
        <item x="83"/>
        <item x="0"/>
        <item x="65"/>
        <item x="29"/>
        <item x="84"/>
        <item x="73"/>
        <item x="34"/>
        <item x="9"/>
        <item x="63"/>
        <item x="67"/>
        <item x="17"/>
        <item x="53"/>
        <item x="62"/>
        <item x="32"/>
        <item x="79"/>
        <item x="31"/>
        <item x="13"/>
        <item x="59"/>
        <item x="50"/>
        <item x="52"/>
        <item x="102"/>
        <item x="45"/>
        <item x="105"/>
        <item x="74"/>
        <item x="20"/>
        <item x="25"/>
        <item x="8"/>
        <item x="93"/>
        <item x="70"/>
        <item x="77"/>
        <item x="88"/>
        <item x="43"/>
        <item x="86"/>
        <item x="91"/>
        <item x="4"/>
        <item x="14"/>
        <item x="11"/>
        <item x="18"/>
        <item x="16"/>
        <item x="28"/>
        <item x="3"/>
        <item x="46"/>
        <item x="15"/>
        <item x="12"/>
        <item x="78"/>
        <item x="36"/>
        <item x="103"/>
        <item x="35"/>
        <item x="47"/>
        <item x="90"/>
        <item x="24"/>
        <item x="94"/>
        <item x="1"/>
        <item x="23"/>
        <item x="80"/>
        <item x="10"/>
        <item x="82"/>
        <item x="72"/>
        <item x="27"/>
        <item x="85"/>
        <item x="75"/>
        <item x="38"/>
        <item x="106"/>
        <item x="58"/>
        <item x="61"/>
        <item x="2"/>
        <item x="44"/>
        <item x="48"/>
        <item x="39"/>
        <item x="104"/>
        <item x="96"/>
        <item x="26"/>
        <item x="97"/>
        <item x="21"/>
        <item x="60"/>
        <item x="41"/>
        <item x="87"/>
        <item x="7"/>
        <item x="95"/>
        <item x="51"/>
        <item x="76"/>
        <item x="33"/>
        <item x="49"/>
        <item x="42"/>
        <item x="71"/>
        <item x="57"/>
        <item x="37"/>
        <item x="5"/>
        <item x="40"/>
        <item x="54"/>
        <item x="99"/>
        <item t="default"/>
      </items>
    </pivotField>
    <pivotField showAll="0"/>
    <pivotField showAll="0"/>
    <pivotField axis="axisRow" showAll="0">
      <items count="5">
        <item x="3"/>
        <item x="0"/>
        <item x="2"/>
        <item x="1"/>
        <item t="default"/>
      </items>
    </pivotField>
    <pivotField showAll="0"/>
    <pivotField showAll="0"/>
    <pivotField showAll="0"/>
    <pivotField showAll="0"/>
    <pivotField dataField="1" numFmtId="164" showAll="0"/>
    <pivotField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Amount" fld="9" baseField="0" baseItem="0"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7AD950-D6D5-48DE-86E0-E8974E4EFD7C}" sourceName="Region">
  <pivotTables>
    <pivotTable tabId="18" name="PivotTable1"/>
  </pivotTables>
  <data>
    <tabular pivotCacheId="2013426726">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1879381-E466-4BA4-9CC0-58B508CE6775}"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7AAB84-441B-499B-9403-3DD65B45A4B9}" name="Table1" displayName="Table1" ref="A3:K183" totalsRowShown="0" headerRowDxfId="15" dataDxfId="14" tableBorderDxfId="13">
  <autoFilter ref="A3:K183" xr:uid="{067AAB84-441B-499B-9403-3DD65B45A4B9}"/>
  <tableColumns count="11">
    <tableColumn id="1" xr3:uid="{55B0368C-A7D6-4BA6-862D-ECF5FAB0DEB1}" name="OrderID" dataDxfId="12"/>
    <tableColumn id="2" xr3:uid="{E529AB9E-7DE2-459D-A88E-ADD31F10C300}" name="Date" dataDxfId="11"/>
    <tableColumn id="3" xr3:uid="{9D078D36-7388-44B4-9878-BA2A2081E044}" name="EmpID" dataDxfId="10"/>
    <tableColumn id="4" xr3:uid="{988461DA-A4A1-49D6-81B3-E45AD711C6FF}" name="EmpName" dataDxfId="9"/>
    <tableColumn id="5" xr3:uid="{384DB7EA-18D0-4E0F-9FC6-4E0E70F12942}" name="Region" dataDxfId="8"/>
    <tableColumn id="6" xr3:uid="{0B09BD4E-F16D-4F2A-B6AF-D0A4295E9B4D}" name="Product" dataDxfId="7"/>
    <tableColumn id="7" xr3:uid="{CAD88FC4-FDBA-4E05-AAFE-151467937C51}" name="Category" dataDxfId="6"/>
    <tableColumn id="8" xr3:uid="{29322ABE-62DA-4F62-A166-5B05D51CB4E8}" name="Units" dataDxfId="5"/>
    <tableColumn id="9" xr3:uid="{94578535-18A5-4068-9CFB-87E7DAEB2179}" name="UnitPrice" dataDxfId="4"/>
    <tableColumn id="10" xr3:uid="{30823022-D5C5-40C8-84B7-7283C681F09E}" name="SalesAmount" dataDxfId="3"/>
    <tableColumn id="12" xr3:uid="{6BC351B3-7130-4229-B806-FA882332AFAA}" name="First Nam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showGridLines="0" topLeftCell="A7" zoomScaleNormal="100" workbookViewId="0">
      <selection activeCell="A15" sqref="A15"/>
    </sheetView>
  </sheetViews>
  <sheetFormatPr defaultColWidth="8.6328125" defaultRowHeight="14.5" x14ac:dyDescent="0.35"/>
  <cols>
    <col min="1" max="1" width="95" customWidth="1"/>
  </cols>
  <sheetData>
    <row r="1" spans="1:8" ht="30" customHeight="1" x14ac:dyDescent="0.35">
      <c r="A1" s="39" t="s">
        <v>0</v>
      </c>
      <c r="B1" s="39"/>
      <c r="C1" s="39"/>
      <c r="D1" s="39"/>
      <c r="E1" s="39"/>
      <c r="F1" s="39"/>
      <c r="G1" s="39"/>
      <c r="H1" s="39"/>
    </row>
    <row r="3" spans="1:8" ht="16.5" x14ac:dyDescent="0.35">
      <c r="A3" s="2" t="s">
        <v>1</v>
      </c>
    </row>
    <row r="4" spans="1:8" ht="15.5" x14ac:dyDescent="0.35">
      <c r="A4" s="3" t="s">
        <v>2</v>
      </c>
    </row>
    <row r="5" spans="1:8" ht="15.5" x14ac:dyDescent="0.35">
      <c r="A5" s="3" t="s">
        <v>3</v>
      </c>
    </row>
    <row r="6" spans="1:8" ht="15.5" x14ac:dyDescent="0.35">
      <c r="A6" s="3" t="s">
        <v>4</v>
      </c>
    </row>
    <row r="7" spans="1:8" ht="15.5" x14ac:dyDescent="0.35">
      <c r="A7" s="3" t="s">
        <v>5</v>
      </c>
    </row>
    <row r="8" spans="1:8" ht="15.5" x14ac:dyDescent="0.35">
      <c r="A8" s="3" t="s">
        <v>6</v>
      </c>
    </row>
    <row r="9" spans="1:8" ht="15.5" x14ac:dyDescent="0.35">
      <c r="A9" s="3"/>
    </row>
    <row r="10" spans="1:8" ht="16.5" x14ac:dyDescent="0.35">
      <c r="A10" s="2" t="s">
        <v>7</v>
      </c>
    </row>
    <row r="11" spans="1:8" ht="15.5" x14ac:dyDescent="0.35">
      <c r="A11" s="3" t="s">
        <v>8</v>
      </c>
    </row>
    <row r="12" spans="1:8" ht="15.5" x14ac:dyDescent="0.35">
      <c r="A12" s="3" t="s">
        <v>9</v>
      </c>
    </row>
    <row r="13" spans="1:8" ht="15.5" x14ac:dyDescent="0.35">
      <c r="A13" s="3" t="s">
        <v>10</v>
      </c>
    </row>
    <row r="14" spans="1:8" ht="15.5" x14ac:dyDescent="0.35">
      <c r="A14" s="3" t="s">
        <v>11</v>
      </c>
    </row>
    <row r="15" spans="1:8" ht="15.5" x14ac:dyDescent="0.35">
      <c r="A15" s="3" t="s">
        <v>12</v>
      </c>
    </row>
    <row r="16" spans="1:8" ht="15.5" x14ac:dyDescent="0.35">
      <c r="A16" s="3"/>
    </row>
    <row r="17" spans="1:1" ht="15.5" x14ac:dyDescent="0.35">
      <c r="A17" s="4" t="s">
        <v>13</v>
      </c>
    </row>
    <row r="18" spans="1:1" ht="15.5" x14ac:dyDescent="0.35">
      <c r="A18" s="3" t="s">
        <v>14</v>
      </c>
    </row>
  </sheetData>
  <mergeCells count="1">
    <mergeCell ref="A1:H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
  <sheetViews>
    <sheetView showGridLines="0" zoomScaleNormal="100" workbookViewId="0">
      <selection sqref="A1:C1"/>
    </sheetView>
  </sheetViews>
  <sheetFormatPr defaultColWidth="8.6328125" defaultRowHeight="14.5" x14ac:dyDescent="0.35"/>
  <cols>
    <col min="1" max="1" width="42" customWidth="1"/>
    <col min="2" max="2" width="48" customWidth="1"/>
  </cols>
  <sheetData>
    <row r="1" spans="1:3" ht="18" x14ac:dyDescent="0.35">
      <c r="A1" s="40" t="s">
        <v>15</v>
      </c>
      <c r="B1" s="40"/>
      <c r="C1" s="40"/>
    </row>
    <row r="3" spans="1:3" x14ac:dyDescent="0.35">
      <c r="A3" s="5" t="s">
        <v>16</v>
      </c>
      <c r="B3" s="5" t="s">
        <v>17</v>
      </c>
    </row>
    <row r="4" spans="1:3" x14ac:dyDescent="0.35">
      <c r="A4" s="6" t="s">
        <v>18</v>
      </c>
      <c r="B4" s="6" t="s">
        <v>19</v>
      </c>
    </row>
    <row r="5" spans="1:3" x14ac:dyDescent="0.35">
      <c r="A5" s="6" t="s">
        <v>20</v>
      </c>
      <c r="B5" s="6" t="s">
        <v>21</v>
      </c>
    </row>
    <row r="6" spans="1:3" x14ac:dyDescent="0.35">
      <c r="A6" s="6" t="s">
        <v>22</v>
      </c>
      <c r="B6" s="6" t="s">
        <v>23</v>
      </c>
    </row>
    <row r="7" spans="1:3" x14ac:dyDescent="0.35">
      <c r="A7" s="6" t="s">
        <v>24</v>
      </c>
      <c r="B7" s="6" t="s">
        <v>25</v>
      </c>
    </row>
    <row r="8" spans="1:3" x14ac:dyDescent="0.35">
      <c r="A8" s="6" t="s">
        <v>26</v>
      </c>
      <c r="B8" s="6" t="s">
        <v>27</v>
      </c>
    </row>
    <row r="9" spans="1:3" x14ac:dyDescent="0.35">
      <c r="A9" s="6" t="s">
        <v>28</v>
      </c>
      <c r="B9" s="6" t="s">
        <v>29</v>
      </c>
    </row>
    <row r="10" spans="1:3" x14ac:dyDescent="0.35">
      <c r="A10" s="6" t="s">
        <v>30</v>
      </c>
      <c r="B10" s="6" t="s">
        <v>31</v>
      </c>
    </row>
    <row r="11" spans="1:3" x14ac:dyDescent="0.35">
      <c r="A11" s="6" t="s">
        <v>32</v>
      </c>
      <c r="B11" s="6" t="s">
        <v>33</v>
      </c>
    </row>
    <row r="12" spans="1:3" x14ac:dyDescent="0.35">
      <c r="A12" s="6" t="s">
        <v>34</v>
      </c>
      <c r="B12" s="6" t="s">
        <v>35</v>
      </c>
    </row>
    <row r="13" spans="1:3" x14ac:dyDescent="0.35">
      <c r="A13" s="6" t="s">
        <v>36</v>
      </c>
      <c r="B13" s="6" t="s">
        <v>37</v>
      </c>
    </row>
    <row r="14" spans="1:3" x14ac:dyDescent="0.35">
      <c r="A14" s="6" t="s">
        <v>38</v>
      </c>
      <c r="B14" s="6" t="s">
        <v>39</v>
      </c>
    </row>
    <row r="15" spans="1:3" x14ac:dyDescent="0.35">
      <c r="A15" s="6" t="s">
        <v>40</v>
      </c>
      <c r="B15" s="6" t="s">
        <v>41</v>
      </c>
    </row>
    <row r="16" spans="1:3" x14ac:dyDescent="0.35">
      <c r="A16" s="6" t="s">
        <v>42</v>
      </c>
      <c r="B16" s="6" t="s">
        <v>43</v>
      </c>
    </row>
    <row r="17" spans="1:2" x14ac:dyDescent="0.35">
      <c r="A17" s="6" t="s">
        <v>44</v>
      </c>
      <c r="B17" s="6" t="s">
        <v>45</v>
      </c>
    </row>
    <row r="18" spans="1:2" x14ac:dyDescent="0.35">
      <c r="A18" s="6" t="s">
        <v>46</v>
      </c>
      <c r="B18" s="6" t="s">
        <v>47</v>
      </c>
    </row>
    <row r="19" spans="1:2" x14ac:dyDescent="0.35">
      <c r="A19" s="6" t="s">
        <v>48</v>
      </c>
      <c r="B19" s="6" t="s">
        <v>49</v>
      </c>
    </row>
    <row r="20" spans="1:2" x14ac:dyDescent="0.35">
      <c r="A20" s="6" t="s">
        <v>50</v>
      </c>
      <c r="B20" s="6" t="s">
        <v>51</v>
      </c>
    </row>
    <row r="21" spans="1:2" x14ac:dyDescent="0.35">
      <c r="A21" s="6" t="s">
        <v>52</v>
      </c>
      <c r="B21" s="6" t="s">
        <v>53</v>
      </c>
    </row>
    <row r="22" spans="1:2" x14ac:dyDescent="0.35">
      <c r="A22" s="6" t="s">
        <v>54</v>
      </c>
      <c r="B22" s="6" t="s">
        <v>55</v>
      </c>
    </row>
    <row r="23" spans="1:2" x14ac:dyDescent="0.35">
      <c r="A23" s="6" t="s">
        <v>56</v>
      </c>
      <c r="B23" s="6" t="s">
        <v>57</v>
      </c>
    </row>
    <row r="24" spans="1:2" x14ac:dyDescent="0.35">
      <c r="A24" s="6" t="s">
        <v>58</v>
      </c>
      <c r="B24" s="6" t="s">
        <v>59</v>
      </c>
    </row>
    <row r="25" spans="1:2" x14ac:dyDescent="0.35">
      <c r="A25" s="6" t="s">
        <v>60</v>
      </c>
      <c r="B25" s="6" t="s">
        <v>61</v>
      </c>
    </row>
    <row r="26" spans="1:2" x14ac:dyDescent="0.35">
      <c r="A26" s="6" t="s">
        <v>62</v>
      </c>
      <c r="B26" s="6" t="s">
        <v>63</v>
      </c>
    </row>
  </sheetData>
  <mergeCells count="1">
    <mergeCell ref="A1:C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
  <sheetViews>
    <sheetView showGridLines="0" zoomScaleNormal="100" workbookViewId="0">
      <selection activeCell="D18" sqref="D18"/>
    </sheetView>
  </sheetViews>
  <sheetFormatPr defaultColWidth="8.6328125" defaultRowHeight="14.5" x14ac:dyDescent="0.35"/>
  <cols>
    <col min="1" max="1" width="10" customWidth="1"/>
    <col min="2" max="2" width="18" customWidth="1"/>
    <col min="3" max="3" width="12" customWidth="1"/>
    <col min="4" max="4" width="14" customWidth="1"/>
    <col min="5" max="5" width="12" customWidth="1"/>
  </cols>
  <sheetData>
    <row r="1" spans="1:5" ht="18" x14ac:dyDescent="0.35">
      <c r="A1" s="40" t="s">
        <v>64</v>
      </c>
      <c r="B1" s="40"/>
      <c r="C1" s="40"/>
      <c r="D1" s="40"/>
      <c r="E1" s="40"/>
    </row>
    <row r="3" spans="1:5" x14ac:dyDescent="0.35">
      <c r="A3" s="5" t="s">
        <v>65</v>
      </c>
      <c r="B3" s="5" t="s">
        <v>66</v>
      </c>
      <c r="C3" s="5" t="s">
        <v>67</v>
      </c>
      <c r="D3" s="5" t="s">
        <v>68</v>
      </c>
      <c r="E3" s="5" t="s">
        <v>69</v>
      </c>
    </row>
    <row r="4" spans="1:5" x14ac:dyDescent="0.35">
      <c r="A4" s="7">
        <v>1001</v>
      </c>
      <c r="B4" s="7" t="s">
        <v>70</v>
      </c>
      <c r="C4" s="7" t="s">
        <v>71</v>
      </c>
      <c r="D4" s="7" t="s">
        <v>72</v>
      </c>
      <c r="E4" s="7">
        <v>2021</v>
      </c>
    </row>
    <row r="5" spans="1:5" x14ac:dyDescent="0.35">
      <c r="A5" s="7">
        <v>1002</v>
      </c>
      <c r="B5" s="7" t="s">
        <v>73</v>
      </c>
      <c r="C5" s="7" t="s">
        <v>74</v>
      </c>
      <c r="D5" s="7" t="s">
        <v>75</v>
      </c>
      <c r="E5" s="7">
        <v>2019</v>
      </c>
    </row>
    <row r="6" spans="1:5" x14ac:dyDescent="0.35">
      <c r="A6" s="7">
        <v>1003</v>
      </c>
      <c r="B6" s="7" t="s">
        <v>76</v>
      </c>
      <c r="C6" s="7" t="s">
        <v>71</v>
      </c>
      <c r="D6" s="7" t="s">
        <v>72</v>
      </c>
      <c r="E6" s="7">
        <v>2022</v>
      </c>
    </row>
    <row r="7" spans="1:5" x14ac:dyDescent="0.35">
      <c r="A7" s="7">
        <v>1004</v>
      </c>
      <c r="B7" s="7" t="s">
        <v>77</v>
      </c>
      <c r="C7" s="7" t="s">
        <v>71</v>
      </c>
      <c r="D7" s="7" t="s">
        <v>75</v>
      </c>
      <c r="E7" s="7">
        <v>2020</v>
      </c>
    </row>
    <row r="8" spans="1:5" x14ac:dyDescent="0.35">
      <c r="A8" s="7">
        <v>1005</v>
      </c>
      <c r="B8" s="7" t="s">
        <v>78</v>
      </c>
      <c r="C8" s="7" t="s">
        <v>71</v>
      </c>
      <c r="D8" s="7" t="s">
        <v>72</v>
      </c>
      <c r="E8" s="7">
        <v>2020</v>
      </c>
    </row>
    <row r="9" spans="1:5" x14ac:dyDescent="0.35">
      <c r="A9" s="7">
        <v>1006</v>
      </c>
      <c r="B9" s="7" t="s">
        <v>79</v>
      </c>
      <c r="C9" s="7" t="s">
        <v>80</v>
      </c>
      <c r="D9" s="7" t="s">
        <v>75</v>
      </c>
      <c r="E9" s="7">
        <v>2022</v>
      </c>
    </row>
    <row r="10" spans="1:5" x14ac:dyDescent="0.35">
      <c r="A10" s="7">
        <v>1007</v>
      </c>
      <c r="B10" s="7" t="s">
        <v>81</v>
      </c>
      <c r="C10" s="7" t="s">
        <v>82</v>
      </c>
      <c r="D10" s="7" t="s">
        <v>75</v>
      </c>
      <c r="E10" s="7">
        <v>2020</v>
      </c>
    </row>
    <row r="11" spans="1:5" x14ac:dyDescent="0.35">
      <c r="A11" s="7">
        <v>1008</v>
      </c>
      <c r="B11" s="7" t="s">
        <v>83</v>
      </c>
      <c r="C11" s="7" t="s">
        <v>82</v>
      </c>
      <c r="D11" s="7" t="s">
        <v>84</v>
      </c>
      <c r="E11" s="7">
        <v>2020</v>
      </c>
    </row>
    <row r="12" spans="1:5" x14ac:dyDescent="0.35">
      <c r="A12" s="7">
        <v>1009</v>
      </c>
      <c r="B12" s="7" t="s">
        <v>85</v>
      </c>
      <c r="C12" s="7" t="s">
        <v>82</v>
      </c>
      <c r="D12" s="7" t="s">
        <v>75</v>
      </c>
      <c r="E12" s="7">
        <v>2019</v>
      </c>
    </row>
    <row r="13" spans="1:5" x14ac:dyDescent="0.35">
      <c r="A13" s="7">
        <v>1010</v>
      </c>
      <c r="B13" s="7" t="s">
        <v>86</v>
      </c>
      <c r="C13" s="7" t="s">
        <v>71</v>
      </c>
      <c r="D13" s="7" t="s">
        <v>84</v>
      </c>
      <c r="E13" s="7">
        <v>2021</v>
      </c>
    </row>
    <row r="14" spans="1:5" x14ac:dyDescent="0.35">
      <c r="A14" s="7">
        <v>1011</v>
      </c>
      <c r="B14" s="7" t="s">
        <v>87</v>
      </c>
      <c r="C14" s="7" t="s">
        <v>82</v>
      </c>
      <c r="D14" s="7" t="s">
        <v>75</v>
      </c>
      <c r="E14" s="7">
        <v>2022</v>
      </c>
    </row>
    <row r="15" spans="1:5" x14ac:dyDescent="0.35">
      <c r="A15" s="7">
        <v>1012</v>
      </c>
      <c r="B15" s="7" t="s">
        <v>88</v>
      </c>
      <c r="C15" s="7" t="s">
        <v>71</v>
      </c>
      <c r="D15" s="7" t="s">
        <v>84</v>
      </c>
      <c r="E15" s="7">
        <v>2019</v>
      </c>
    </row>
    <row r="16" spans="1:5" x14ac:dyDescent="0.35">
      <c r="A16" s="7">
        <v>1013</v>
      </c>
      <c r="B16" s="7" t="s">
        <v>89</v>
      </c>
      <c r="C16" s="7" t="s">
        <v>82</v>
      </c>
      <c r="D16" s="7" t="s">
        <v>72</v>
      </c>
      <c r="E16" s="7">
        <v>2023</v>
      </c>
    </row>
    <row r="17" spans="1:5" x14ac:dyDescent="0.35">
      <c r="A17" s="7">
        <v>1014</v>
      </c>
      <c r="B17" s="7" t="s">
        <v>90</v>
      </c>
      <c r="C17" s="7" t="s">
        <v>74</v>
      </c>
      <c r="D17" s="7" t="s">
        <v>72</v>
      </c>
      <c r="E17" s="7">
        <v>2019</v>
      </c>
    </row>
    <row r="18" spans="1:5" x14ac:dyDescent="0.35">
      <c r="A18" s="7">
        <v>1015</v>
      </c>
      <c r="B18" s="7" t="s">
        <v>91</v>
      </c>
      <c r="C18" s="7" t="s">
        <v>74</v>
      </c>
      <c r="D18" s="7" t="s">
        <v>84</v>
      </c>
      <c r="E18" s="7">
        <v>2019</v>
      </c>
    </row>
    <row r="19" spans="1:5" x14ac:dyDescent="0.35">
      <c r="A19" s="7">
        <v>1016</v>
      </c>
      <c r="B19" s="7" t="s">
        <v>92</v>
      </c>
      <c r="C19" s="7" t="s">
        <v>71</v>
      </c>
      <c r="D19" s="7" t="s">
        <v>84</v>
      </c>
      <c r="E19" s="7">
        <v>2021</v>
      </c>
    </row>
    <row r="20" spans="1:5" x14ac:dyDescent="0.35">
      <c r="A20" s="7">
        <v>1017</v>
      </c>
      <c r="B20" s="7" t="s">
        <v>93</v>
      </c>
      <c r="C20" s="7" t="s">
        <v>82</v>
      </c>
      <c r="D20" s="7" t="s">
        <v>75</v>
      </c>
      <c r="E20" s="7">
        <v>2021</v>
      </c>
    </row>
    <row r="21" spans="1:5" x14ac:dyDescent="0.35">
      <c r="A21" s="7">
        <v>1018</v>
      </c>
      <c r="B21" s="7" t="s">
        <v>94</v>
      </c>
      <c r="C21" s="7" t="s">
        <v>74</v>
      </c>
      <c r="D21" s="7" t="s">
        <v>72</v>
      </c>
      <c r="E21" s="7">
        <v>2021</v>
      </c>
    </row>
    <row r="22" spans="1:5" x14ac:dyDescent="0.35">
      <c r="A22" s="7">
        <v>1019</v>
      </c>
      <c r="B22" s="7" t="s">
        <v>95</v>
      </c>
      <c r="C22" s="7" t="s">
        <v>74</v>
      </c>
      <c r="D22" s="7" t="s">
        <v>72</v>
      </c>
      <c r="E22" s="7">
        <v>2020</v>
      </c>
    </row>
    <row r="23" spans="1:5" x14ac:dyDescent="0.35">
      <c r="A23" s="7">
        <v>1020</v>
      </c>
      <c r="B23" s="7" t="s">
        <v>96</v>
      </c>
      <c r="C23" s="7" t="s">
        <v>80</v>
      </c>
      <c r="D23" s="7" t="s">
        <v>84</v>
      </c>
      <c r="E23" s="7">
        <v>2021</v>
      </c>
    </row>
  </sheetData>
  <mergeCells count="1">
    <mergeCell ref="A1:E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724A8-D5B0-436C-AFC3-A8AB3B733C54}">
  <dimension ref="A3:B8"/>
  <sheetViews>
    <sheetView workbookViewId="0">
      <selection activeCell="A3" sqref="A3:B8"/>
    </sheetView>
  </sheetViews>
  <sheetFormatPr defaultRowHeight="14.5" x14ac:dyDescent="0.35"/>
  <cols>
    <col min="1" max="1" width="12.36328125" bestFit="1" customWidth="1"/>
    <col min="2" max="2" width="18.26953125" bestFit="1" customWidth="1"/>
  </cols>
  <sheetData>
    <row r="3" spans="1:2" x14ac:dyDescent="0.35">
      <c r="A3" s="28" t="s">
        <v>427</v>
      </c>
      <c r="B3" t="s">
        <v>429</v>
      </c>
    </row>
    <row r="4" spans="1:2" x14ac:dyDescent="0.35">
      <c r="A4" s="29" t="s">
        <v>82</v>
      </c>
      <c r="B4" s="15">
        <v>4588900</v>
      </c>
    </row>
    <row r="5" spans="1:2" x14ac:dyDescent="0.35">
      <c r="A5" s="29" t="s">
        <v>71</v>
      </c>
      <c r="B5" s="15">
        <v>6519000</v>
      </c>
    </row>
    <row r="6" spans="1:2" x14ac:dyDescent="0.35">
      <c r="A6" s="29" t="s">
        <v>74</v>
      </c>
      <c r="B6" s="15">
        <v>4212600</v>
      </c>
    </row>
    <row r="7" spans="1:2" x14ac:dyDescent="0.35">
      <c r="A7" s="29" t="s">
        <v>80</v>
      </c>
      <c r="B7" s="15">
        <v>2760100</v>
      </c>
    </row>
    <row r="8" spans="1:2" x14ac:dyDescent="0.35">
      <c r="A8" s="29" t="s">
        <v>428</v>
      </c>
      <c r="B8" s="15">
        <v>18080600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4B165-4EC1-4177-8FD2-9055A84FEF88}">
  <dimension ref="A3:B12"/>
  <sheetViews>
    <sheetView workbookViewId="0">
      <selection activeCell="B4" sqref="B4"/>
    </sheetView>
  </sheetViews>
  <sheetFormatPr defaultRowHeight="14.5" x14ac:dyDescent="0.35"/>
  <cols>
    <col min="1" max="1" width="12.36328125" bestFit="1" customWidth="1"/>
    <col min="2" max="2" width="11.453125" bestFit="1" customWidth="1"/>
  </cols>
  <sheetData>
    <row r="3" spans="1:2" x14ac:dyDescent="0.35">
      <c r="A3" s="28" t="s">
        <v>427</v>
      </c>
      <c r="B3" t="s">
        <v>430</v>
      </c>
    </row>
    <row r="4" spans="1:2" x14ac:dyDescent="0.35">
      <c r="A4" s="29" t="s">
        <v>118</v>
      </c>
      <c r="B4">
        <v>286</v>
      </c>
    </row>
    <row r="5" spans="1:2" x14ac:dyDescent="0.35">
      <c r="A5" s="29" t="s">
        <v>107</v>
      </c>
      <c r="B5">
        <v>160</v>
      </c>
    </row>
    <row r="6" spans="1:2" x14ac:dyDescent="0.35">
      <c r="A6" s="29" t="s">
        <v>132</v>
      </c>
      <c r="B6">
        <v>155</v>
      </c>
    </row>
    <row r="7" spans="1:2" x14ac:dyDescent="0.35">
      <c r="A7" s="29" t="s">
        <v>111</v>
      </c>
      <c r="B7">
        <v>155</v>
      </c>
    </row>
    <row r="8" spans="1:2" x14ac:dyDescent="0.35">
      <c r="A8" s="29" t="s">
        <v>113</v>
      </c>
      <c r="B8">
        <v>152</v>
      </c>
    </row>
    <row r="9" spans="1:2" x14ac:dyDescent="0.35">
      <c r="A9" s="29" t="s">
        <v>122</v>
      </c>
      <c r="B9">
        <v>140</v>
      </c>
    </row>
    <row r="10" spans="1:2" x14ac:dyDescent="0.35">
      <c r="A10" s="29" t="s">
        <v>115</v>
      </c>
      <c r="B10">
        <v>137</v>
      </c>
    </row>
    <row r="11" spans="1:2" x14ac:dyDescent="0.35">
      <c r="A11" s="29" t="s">
        <v>124</v>
      </c>
      <c r="B11">
        <v>134</v>
      </c>
    </row>
    <row r="12" spans="1:2" x14ac:dyDescent="0.35">
      <c r="A12" s="29" t="s">
        <v>428</v>
      </c>
      <c r="B12">
        <v>1319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E8519-72B4-449D-8385-27E3F14BBD8B}">
  <dimension ref="A3:D9"/>
  <sheetViews>
    <sheetView zoomScale="63" workbookViewId="0">
      <selection activeCell="A3" sqref="A3"/>
    </sheetView>
  </sheetViews>
  <sheetFormatPr defaultRowHeight="14.5" x14ac:dyDescent="0.35"/>
  <cols>
    <col min="1" max="1" width="18.81640625" bestFit="1" customWidth="1"/>
    <col min="2" max="2" width="17" bestFit="1" customWidth="1"/>
    <col min="3" max="4" width="14.90625" bestFit="1" customWidth="1"/>
  </cols>
  <sheetData>
    <row r="3" spans="1:4" x14ac:dyDescent="0.35">
      <c r="A3" s="28" t="s">
        <v>429</v>
      </c>
      <c r="B3" s="28" t="s">
        <v>431</v>
      </c>
    </row>
    <row r="4" spans="1:4" x14ac:dyDescent="0.35">
      <c r="A4" s="28" t="s">
        <v>427</v>
      </c>
      <c r="B4" t="s">
        <v>108</v>
      </c>
      <c r="C4" t="s">
        <v>116</v>
      </c>
      <c r="D4" t="s">
        <v>428</v>
      </c>
    </row>
    <row r="5" spans="1:4" x14ac:dyDescent="0.35">
      <c r="A5" s="29" t="s">
        <v>82</v>
      </c>
      <c r="B5" s="15">
        <v>152900</v>
      </c>
      <c r="C5" s="15">
        <v>4436000</v>
      </c>
      <c r="D5" s="15">
        <v>4588900</v>
      </c>
    </row>
    <row r="6" spans="1:4" x14ac:dyDescent="0.35">
      <c r="A6" s="29" t="s">
        <v>71</v>
      </c>
      <c r="B6" s="15">
        <v>184000</v>
      </c>
      <c r="C6" s="15">
        <v>6335000</v>
      </c>
      <c r="D6" s="15">
        <v>6519000</v>
      </c>
    </row>
    <row r="7" spans="1:4" x14ac:dyDescent="0.35">
      <c r="A7" s="29" t="s">
        <v>74</v>
      </c>
      <c r="B7" s="15">
        <v>233600</v>
      </c>
      <c r="C7" s="15">
        <v>3979000</v>
      </c>
      <c r="D7" s="15">
        <v>4212600</v>
      </c>
    </row>
    <row r="8" spans="1:4" x14ac:dyDescent="0.35">
      <c r="A8" s="29" t="s">
        <v>80</v>
      </c>
      <c r="B8" s="15">
        <v>28600</v>
      </c>
      <c r="C8" s="15">
        <v>2731500</v>
      </c>
      <c r="D8" s="15">
        <v>2760100</v>
      </c>
    </row>
    <row r="9" spans="1:4" x14ac:dyDescent="0.35">
      <c r="A9" s="29" t="s">
        <v>428</v>
      </c>
      <c r="B9" s="15">
        <v>599100</v>
      </c>
      <c r="C9" s="15">
        <v>17481500</v>
      </c>
      <c r="D9" s="15">
        <v>18080600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5FCF1-858D-4289-9629-BEAD3E372C8B}">
  <dimension ref="A3:B10"/>
  <sheetViews>
    <sheetView workbookViewId="0">
      <selection activeCell="J11" sqref="J11"/>
    </sheetView>
  </sheetViews>
  <sheetFormatPr defaultRowHeight="14.5" x14ac:dyDescent="0.35"/>
  <cols>
    <col min="1" max="1" width="12.36328125" bestFit="1" customWidth="1"/>
    <col min="2" max="2" width="18.26953125" bestFit="1" customWidth="1"/>
  </cols>
  <sheetData>
    <row r="3" spans="1:2" x14ac:dyDescent="0.35">
      <c r="A3" s="28" t="s">
        <v>427</v>
      </c>
      <c r="B3" t="s">
        <v>429</v>
      </c>
    </row>
    <row r="4" spans="1:2" x14ac:dyDescent="0.35">
      <c r="A4" s="29" t="s">
        <v>432</v>
      </c>
      <c r="B4" s="15">
        <v>2999400</v>
      </c>
    </row>
    <row r="5" spans="1:2" x14ac:dyDescent="0.35">
      <c r="A5" s="29" t="s">
        <v>433</v>
      </c>
      <c r="B5" s="15">
        <v>3794100</v>
      </c>
    </row>
    <row r="6" spans="1:2" x14ac:dyDescent="0.35">
      <c r="A6" s="29" t="s">
        <v>434</v>
      </c>
      <c r="B6" s="15">
        <v>2317000</v>
      </c>
    </row>
    <row r="7" spans="1:2" x14ac:dyDescent="0.35">
      <c r="A7" s="29" t="s">
        <v>435</v>
      </c>
      <c r="B7" s="15">
        <v>4163100</v>
      </c>
    </row>
    <row r="8" spans="1:2" x14ac:dyDescent="0.35">
      <c r="A8" s="29" t="s">
        <v>436</v>
      </c>
      <c r="B8" s="15">
        <v>2148000</v>
      </c>
    </row>
    <row r="9" spans="1:2" x14ac:dyDescent="0.35">
      <c r="A9" s="29" t="s">
        <v>437</v>
      </c>
      <c r="B9" s="15">
        <v>2659000</v>
      </c>
    </row>
    <row r="10" spans="1:2" x14ac:dyDescent="0.35">
      <c r="A10" s="29" t="s">
        <v>428</v>
      </c>
      <c r="B10" s="15">
        <v>18080600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F799-FDED-4EF4-BDBF-B6BDBDDEB6ED}">
  <dimension ref="A3:C24"/>
  <sheetViews>
    <sheetView topLeftCell="A3" workbookViewId="0">
      <selection activeCell="C4" sqref="C4"/>
    </sheetView>
  </sheetViews>
  <sheetFormatPr defaultRowHeight="14.5" x14ac:dyDescent="0.35"/>
  <cols>
    <col min="1" max="1" width="13" bestFit="1" customWidth="1"/>
    <col min="2" max="2" width="15.36328125" bestFit="1" customWidth="1"/>
    <col min="3" max="3" width="18.26953125" bestFit="1" customWidth="1"/>
  </cols>
  <sheetData>
    <row r="3" spans="1:3" x14ac:dyDescent="0.35">
      <c r="A3" s="28" t="s">
        <v>427</v>
      </c>
      <c r="B3" t="s">
        <v>438</v>
      </c>
      <c r="C3" t="s">
        <v>429</v>
      </c>
    </row>
    <row r="4" spans="1:3" x14ac:dyDescent="0.35">
      <c r="A4" s="29" t="s">
        <v>95</v>
      </c>
      <c r="B4">
        <v>10</v>
      </c>
      <c r="C4" s="15">
        <v>1606600</v>
      </c>
    </row>
    <row r="5" spans="1:3" x14ac:dyDescent="0.35">
      <c r="A5" s="29" t="s">
        <v>70</v>
      </c>
      <c r="B5">
        <v>11</v>
      </c>
      <c r="C5" s="15">
        <v>1495000</v>
      </c>
    </row>
    <row r="6" spans="1:3" x14ac:dyDescent="0.35">
      <c r="A6" s="29" t="s">
        <v>79</v>
      </c>
      <c r="B6">
        <v>8</v>
      </c>
      <c r="C6" s="15">
        <v>1468500</v>
      </c>
    </row>
    <row r="7" spans="1:3" x14ac:dyDescent="0.35">
      <c r="A7" s="29" t="s">
        <v>85</v>
      </c>
      <c r="B7">
        <v>8</v>
      </c>
      <c r="C7" s="15">
        <v>1332500</v>
      </c>
    </row>
    <row r="8" spans="1:3" x14ac:dyDescent="0.35">
      <c r="A8" s="29" t="s">
        <v>96</v>
      </c>
      <c r="B8">
        <v>8</v>
      </c>
      <c r="C8" s="15">
        <v>1291600</v>
      </c>
    </row>
    <row r="9" spans="1:3" x14ac:dyDescent="0.35">
      <c r="A9" s="29" t="s">
        <v>76</v>
      </c>
      <c r="B9">
        <v>11</v>
      </c>
      <c r="C9" s="15">
        <v>1031000</v>
      </c>
    </row>
    <row r="10" spans="1:3" x14ac:dyDescent="0.35">
      <c r="A10" s="29" t="s">
        <v>78</v>
      </c>
      <c r="B10">
        <v>6</v>
      </c>
      <c r="C10" s="15">
        <v>1017000</v>
      </c>
    </row>
    <row r="11" spans="1:3" x14ac:dyDescent="0.35">
      <c r="A11" s="29" t="s">
        <v>83</v>
      </c>
      <c r="B11">
        <v>11</v>
      </c>
      <c r="C11" s="15">
        <v>998900</v>
      </c>
    </row>
    <row r="12" spans="1:3" x14ac:dyDescent="0.35">
      <c r="A12" s="29" t="s">
        <v>89</v>
      </c>
      <c r="B12">
        <v>11</v>
      </c>
      <c r="C12" s="15">
        <v>998500</v>
      </c>
    </row>
    <row r="13" spans="1:3" x14ac:dyDescent="0.35">
      <c r="A13" s="29" t="s">
        <v>86</v>
      </c>
      <c r="B13">
        <v>11</v>
      </c>
      <c r="C13" s="15">
        <v>920000</v>
      </c>
    </row>
    <row r="14" spans="1:3" x14ac:dyDescent="0.35">
      <c r="A14" s="29" t="s">
        <v>91</v>
      </c>
      <c r="B14">
        <v>6</v>
      </c>
      <c r="C14" s="15">
        <v>757500</v>
      </c>
    </row>
    <row r="15" spans="1:3" x14ac:dyDescent="0.35">
      <c r="A15" s="29" t="s">
        <v>81</v>
      </c>
      <c r="B15">
        <v>10</v>
      </c>
      <c r="C15" s="15">
        <v>750300</v>
      </c>
    </row>
    <row r="16" spans="1:3" x14ac:dyDescent="0.35">
      <c r="A16" s="29" t="s">
        <v>77</v>
      </c>
      <c r="B16">
        <v>9</v>
      </c>
      <c r="C16" s="15">
        <v>714500</v>
      </c>
    </row>
    <row r="17" spans="1:3" x14ac:dyDescent="0.35">
      <c r="A17" s="29" t="s">
        <v>88</v>
      </c>
      <c r="B17">
        <v>5</v>
      </c>
      <c r="C17" s="15">
        <v>692000</v>
      </c>
    </row>
    <row r="18" spans="1:3" x14ac:dyDescent="0.35">
      <c r="A18" s="29" t="s">
        <v>94</v>
      </c>
      <c r="B18">
        <v>12</v>
      </c>
      <c r="C18" s="15">
        <v>676500</v>
      </c>
    </row>
    <row r="19" spans="1:3" x14ac:dyDescent="0.35">
      <c r="A19" s="29" t="s">
        <v>92</v>
      </c>
      <c r="B19">
        <v>6</v>
      </c>
      <c r="C19" s="15">
        <v>649500</v>
      </c>
    </row>
    <row r="20" spans="1:3" x14ac:dyDescent="0.35">
      <c r="A20" s="29" t="s">
        <v>73</v>
      </c>
      <c r="B20">
        <v>8</v>
      </c>
      <c r="C20" s="15">
        <v>636200</v>
      </c>
    </row>
    <row r="21" spans="1:3" x14ac:dyDescent="0.35">
      <c r="A21" s="29" t="s">
        <v>90</v>
      </c>
      <c r="B21">
        <v>17</v>
      </c>
      <c r="C21" s="15">
        <v>535800</v>
      </c>
    </row>
    <row r="22" spans="1:3" x14ac:dyDescent="0.35">
      <c r="A22" s="29" t="s">
        <v>87</v>
      </c>
      <c r="B22">
        <v>7</v>
      </c>
      <c r="C22" s="15">
        <v>436300</v>
      </c>
    </row>
    <row r="23" spans="1:3" x14ac:dyDescent="0.35">
      <c r="A23" s="29" t="s">
        <v>93</v>
      </c>
      <c r="B23">
        <v>5</v>
      </c>
      <c r="C23" s="15">
        <v>72400</v>
      </c>
    </row>
    <row r="24" spans="1:3" x14ac:dyDescent="0.35">
      <c r="A24" s="29" t="s">
        <v>428</v>
      </c>
      <c r="B24">
        <v>180</v>
      </c>
      <c r="C24" s="15">
        <v>18080600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83"/>
  <sheetViews>
    <sheetView showGridLines="0" zoomScale="88" zoomScaleNormal="122" workbookViewId="0">
      <pane ySplit="3" topLeftCell="A168" activePane="bottomLeft" state="frozen"/>
      <selection pane="bottomLeft" activeCell="B25" sqref="B25"/>
    </sheetView>
  </sheetViews>
  <sheetFormatPr defaultColWidth="8.6328125" defaultRowHeight="14.5" x14ac:dyDescent="0.35"/>
  <cols>
    <col min="1" max="1" width="10.453125" customWidth="1"/>
    <col min="2" max="2" width="12" customWidth="1"/>
    <col min="3" max="3" width="9.26953125" customWidth="1"/>
    <col min="4" max="4" width="16" customWidth="1"/>
    <col min="5" max="5" width="10" customWidth="1"/>
    <col min="6" max="7" width="12" customWidth="1"/>
    <col min="8" max="8" width="8" customWidth="1"/>
    <col min="9" max="9" width="11.7265625" customWidth="1"/>
    <col min="10" max="10" width="15.81640625" style="15" customWidth="1"/>
    <col min="11" max="11" width="15.90625" customWidth="1"/>
    <col min="13" max="13" width="8.6328125" customWidth="1"/>
    <col min="15" max="15" width="19.1796875" customWidth="1"/>
    <col min="16" max="16" width="12.54296875" customWidth="1"/>
    <col min="17" max="17" width="10.453125" customWidth="1"/>
    <col min="18" max="18" width="10.6328125" customWidth="1"/>
    <col min="19" max="19" width="11.1796875" customWidth="1"/>
  </cols>
  <sheetData>
    <row r="1" spans="1:20" ht="18" x14ac:dyDescent="0.35">
      <c r="A1" s="40" t="s">
        <v>97</v>
      </c>
      <c r="B1" s="40"/>
      <c r="C1" s="40"/>
      <c r="D1" s="40"/>
      <c r="E1" s="40"/>
      <c r="F1" s="40"/>
      <c r="G1" s="40"/>
      <c r="H1" s="40"/>
      <c r="I1" s="40"/>
      <c r="J1" s="40"/>
      <c r="L1">
        <v>0.1</v>
      </c>
      <c r="P1">
        <f>COUNTA(D4:D183)</f>
        <v>180</v>
      </c>
      <c r="Q1">
        <f>COUNTBLANK(D4:D183)</f>
        <v>0</v>
      </c>
      <c r="R1">
        <f>ROUND(12345.6789, 1)</f>
        <v>12345.7</v>
      </c>
      <c r="S1">
        <f>SUBTOTAL(9, J4:J183)</f>
        <v>18080600</v>
      </c>
    </row>
    <row r="3" spans="1:20" s="19" customFormat="1" x14ac:dyDescent="0.35">
      <c r="A3" s="20" t="s">
        <v>98</v>
      </c>
      <c r="B3" s="16" t="s">
        <v>99</v>
      </c>
      <c r="C3" s="16" t="s">
        <v>65</v>
      </c>
      <c r="D3" s="16" t="s">
        <v>100</v>
      </c>
      <c r="E3" s="16" t="s">
        <v>67</v>
      </c>
      <c r="F3" s="16" t="s">
        <v>101</v>
      </c>
      <c r="G3" s="16" t="s">
        <v>102</v>
      </c>
      <c r="H3" s="16" t="s">
        <v>103</v>
      </c>
      <c r="I3" s="16" t="s">
        <v>104</v>
      </c>
      <c r="J3" s="17" t="s">
        <v>105</v>
      </c>
      <c r="K3" s="18" t="s">
        <v>398</v>
      </c>
      <c r="M3" s="19" t="s">
        <v>419</v>
      </c>
      <c r="N3" s="19" t="s">
        <v>426</v>
      </c>
      <c r="O3" s="19" t="s">
        <v>420</v>
      </c>
      <c r="P3" s="19" t="s">
        <v>421</v>
      </c>
      <c r="Q3" s="19" t="s">
        <v>422</v>
      </c>
      <c r="R3" s="19" t="s">
        <v>423</v>
      </c>
      <c r="S3" s="19" t="s">
        <v>424</v>
      </c>
      <c r="T3" s="19" t="s">
        <v>425</v>
      </c>
    </row>
    <row r="4" spans="1:20" x14ac:dyDescent="0.35">
      <c r="A4" s="21" t="s">
        <v>213</v>
      </c>
      <c r="B4" s="25">
        <v>45316</v>
      </c>
      <c r="C4" s="7">
        <v>1005</v>
      </c>
      <c r="D4" s="7" t="s">
        <v>78</v>
      </c>
      <c r="E4" s="7" t="s">
        <v>71</v>
      </c>
      <c r="F4" s="7" t="s">
        <v>132</v>
      </c>
      <c r="G4" s="7" t="s">
        <v>116</v>
      </c>
      <c r="H4" s="7">
        <v>15</v>
      </c>
      <c r="I4" s="7">
        <v>55000</v>
      </c>
      <c r="J4" s="14">
        <v>825000</v>
      </c>
      <c r="K4" s="23" t="s">
        <v>399</v>
      </c>
      <c r="M4">
        <f t="shared" ref="M4:M35" si="0">J4*$L$1</f>
        <v>82500</v>
      </c>
      <c r="O4" s="15">
        <f>SUM(Table1[SalesAmount])</f>
        <v>18080600</v>
      </c>
      <c r="P4">
        <f>AVERAGE(Table1[SalesAmount])</f>
        <v>100447.77777777778</v>
      </c>
      <c r="Q4">
        <f>COUNTA(Table1[SalesAmount])</f>
        <v>180</v>
      </c>
      <c r="R4">
        <f>MAX(Table1[SalesAmount])</f>
        <v>825000</v>
      </c>
      <c r="S4">
        <f>MIN(Table1[SalesAmount])</f>
        <v>800</v>
      </c>
    </row>
    <row r="5" spans="1:20" x14ac:dyDescent="0.35">
      <c r="A5" s="21" t="s">
        <v>233</v>
      </c>
      <c r="B5" s="25">
        <v>45401</v>
      </c>
      <c r="C5" s="7">
        <v>1020</v>
      </c>
      <c r="D5" s="7" t="s">
        <v>96</v>
      </c>
      <c r="E5" s="7" t="s">
        <v>80</v>
      </c>
      <c r="F5" s="7" t="s">
        <v>132</v>
      </c>
      <c r="G5" s="7" t="s">
        <v>116</v>
      </c>
      <c r="H5" s="7">
        <v>15</v>
      </c>
      <c r="I5" s="7">
        <v>55000</v>
      </c>
      <c r="J5" s="14">
        <v>825000</v>
      </c>
      <c r="K5" s="22" t="s">
        <v>400</v>
      </c>
      <c r="M5">
        <f t="shared" si="0"/>
        <v>82500</v>
      </c>
    </row>
    <row r="6" spans="1:20" x14ac:dyDescent="0.35">
      <c r="A6" s="21" t="s">
        <v>227</v>
      </c>
      <c r="B6" s="25">
        <v>45425</v>
      </c>
      <c r="C6" s="7">
        <v>1019</v>
      </c>
      <c r="D6" s="7" t="s">
        <v>95</v>
      </c>
      <c r="E6" s="7" t="s">
        <v>74</v>
      </c>
      <c r="F6" s="7" t="s">
        <v>132</v>
      </c>
      <c r="G6" s="7" t="s">
        <v>116</v>
      </c>
      <c r="H6" s="7">
        <v>14</v>
      </c>
      <c r="I6" s="7">
        <v>55000</v>
      </c>
      <c r="J6" s="14">
        <v>770000</v>
      </c>
      <c r="K6" s="22" t="s">
        <v>401</v>
      </c>
      <c r="M6">
        <f t="shared" si="0"/>
        <v>77000</v>
      </c>
    </row>
    <row r="7" spans="1:20" x14ac:dyDescent="0.35">
      <c r="A7" s="21" t="s">
        <v>197</v>
      </c>
      <c r="B7" s="25">
        <v>45383</v>
      </c>
      <c r="C7" s="7">
        <v>1009</v>
      </c>
      <c r="D7" s="7" t="s">
        <v>85</v>
      </c>
      <c r="E7" s="7" t="s">
        <v>82</v>
      </c>
      <c r="F7" s="7" t="s">
        <v>132</v>
      </c>
      <c r="G7" s="7" t="s">
        <v>116</v>
      </c>
      <c r="H7" s="7">
        <v>12</v>
      </c>
      <c r="I7" s="7">
        <v>55000</v>
      </c>
      <c r="J7" s="14">
        <v>660000</v>
      </c>
      <c r="K7" s="22" t="s">
        <v>402</v>
      </c>
      <c r="M7">
        <f t="shared" si="0"/>
        <v>66000</v>
      </c>
      <c r="O7" s="15"/>
    </row>
    <row r="8" spans="1:20" x14ac:dyDescent="0.35">
      <c r="A8" s="21" t="s">
        <v>131</v>
      </c>
      <c r="B8" s="25">
        <v>45367</v>
      </c>
      <c r="C8" s="7">
        <v>1006</v>
      </c>
      <c r="D8" s="7" t="s">
        <v>79</v>
      </c>
      <c r="E8" s="7" t="s">
        <v>80</v>
      </c>
      <c r="F8" s="7" t="s">
        <v>132</v>
      </c>
      <c r="G8" s="7" t="s">
        <v>116</v>
      </c>
      <c r="H8" s="7">
        <v>10</v>
      </c>
      <c r="I8" s="7">
        <v>55000</v>
      </c>
      <c r="J8" s="14">
        <v>550000</v>
      </c>
      <c r="K8" s="22" t="s">
        <v>403</v>
      </c>
      <c r="M8">
        <f t="shared" si="0"/>
        <v>55000</v>
      </c>
    </row>
    <row r="9" spans="1:20" x14ac:dyDescent="0.35">
      <c r="A9" s="21" t="s">
        <v>159</v>
      </c>
      <c r="B9" s="25">
        <v>45461</v>
      </c>
      <c r="C9" s="7">
        <v>1007</v>
      </c>
      <c r="D9" s="7" t="s">
        <v>81</v>
      </c>
      <c r="E9" s="7" t="s">
        <v>82</v>
      </c>
      <c r="F9" s="7" t="s">
        <v>132</v>
      </c>
      <c r="G9" s="7" t="s">
        <v>116</v>
      </c>
      <c r="H9" s="7">
        <v>10</v>
      </c>
      <c r="I9" s="7">
        <v>55000</v>
      </c>
      <c r="J9" s="14">
        <v>550000</v>
      </c>
      <c r="K9" s="22" t="s">
        <v>404</v>
      </c>
      <c r="M9">
        <f t="shared" si="0"/>
        <v>55000</v>
      </c>
    </row>
    <row r="10" spans="1:20" x14ac:dyDescent="0.35">
      <c r="A10" s="21" t="s">
        <v>164</v>
      </c>
      <c r="B10" s="25">
        <v>45305</v>
      </c>
      <c r="C10" s="7">
        <v>1019</v>
      </c>
      <c r="D10" s="7" t="s">
        <v>95</v>
      </c>
      <c r="E10" s="7" t="s">
        <v>74</v>
      </c>
      <c r="F10" s="7" t="s">
        <v>132</v>
      </c>
      <c r="G10" s="7" t="s">
        <v>116</v>
      </c>
      <c r="H10" s="7">
        <v>10</v>
      </c>
      <c r="I10" s="7">
        <v>55000</v>
      </c>
      <c r="J10" s="14">
        <v>550000</v>
      </c>
      <c r="K10" s="22" t="s">
        <v>401</v>
      </c>
      <c r="M10">
        <f t="shared" si="0"/>
        <v>55000</v>
      </c>
    </row>
    <row r="11" spans="1:20" x14ac:dyDescent="0.35">
      <c r="A11" s="21" t="s">
        <v>282</v>
      </c>
      <c r="B11" s="25">
        <v>45447</v>
      </c>
      <c r="C11" s="7">
        <v>1010</v>
      </c>
      <c r="D11" s="7" t="s">
        <v>86</v>
      </c>
      <c r="E11" s="7" t="s">
        <v>71</v>
      </c>
      <c r="F11" s="7" t="s">
        <v>132</v>
      </c>
      <c r="G11" s="7" t="s">
        <v>116</v>
      </c>
      <c r="H11" s="7">
        <v>10</v>
      </c>
      <c r="I11" s="7">
        <v>55000</v>
      </c>
      <c r="J11" s="14">
        <v>550000</v>
      </c>
      <c r="K11" s="22" t="s">
        <v>405</v>
      </c>
      <c r="M11">
        <f t="shared" si="0"/>
        <v>55000</v>
      </c>
    </row>
    <row r="12" spans="1:20" x14ac:dyDescent="0.35">
      <c r="A12" s="21" t="s">
        <v>215</v>
      </c>
      <c r="B12" s="25">
        <v>45350</v>
      </c>
      <c r="C12" s="7">
        <v>1015</v>
      </c>
      <c r="D12" s="7" t="s">
        <v>91</v>
      </c>
      <c r="E12" s="7" t="s">
        <v>74</v>
      </c>
      <c r="F12" s="7" t="s">
        <v>132</v>
      </c>
      <c r="G12" s="7" t="s">
        <v>116</v>
      </c>
      <c r="H12" s="7">
        <v>9</v>
      </c>
      <c r="I12" s="7">
        <v>55000</v>
      </c>
      <c r="J12" s="14">
        <v>495000</v>
      </c>
      <c r="K12" s="22" t="s">
        <v>406</v>
      </c>
      <c r="M12">
        <f t="shared" si="0"/>
        <v>49500</v>
      </c>
    </row>
    <row r="13" spans="1:20" x14ac:dyDescent="0.35">
      <c r="A13" s="21" t="s">
        <v>260</v>
      </c>
      <c r="B13" s="25">
        <v>45325</v>
      </c>
      <c r="C13" s="7">
        <v>1009</v>
      </c>
      <c r="D13" s="7" t="s">
        <v>85</v>
      </c>
      <c r="E13" s="7" t="s">
        <v>82</v>
      </c>
      <c r="F13" s="7" t="s">
        <v>132</v>
      </c>
      <c r="G13" s="7" t="s">
        <v>116</v>
      </c>
      <c r="H13" s="7">
        <v>9</v>
      </c>
      <c r="I13" s="7">
        <v>55000</v>
      </c>
      <c r="J13" s="14">
        <v>495000</v>
      </c>
      <c r="K13" s="22" t="s">
        <v>402</v>
      </c>
      <c r="M13">
        <f t="shared" si="0"/>
        <v>49500</v>
      </c>
    </row>
    <row r="14" spans="1:20" x14ac:dyDescent="0.35">
      <c r="A14" s="21" t="s">
        <v>285</v>
      </c>
      <c r="B14" s="25">
        <v>45405</v>
      </c>
      <c r="C14" s="7">
        <v>1006</v>
      </c>
      <c r="D14" s="7" t="s">
        <v>79</v>
      </c>
      <c r="E14" s="7" t="s">
        <v>80</v>
      </c>
      <c r="F14" s="7" t="s">
        <v>132</v>
      </c>
      <c r="G14" s="7" t="s">
        <v>116</v>
      </c>
      <c r="H14" s="7">
        <v>7</v>
      </c>
      <c r="I14" s="7">
        <v>55000</v>
      </c>
      <c r="J14" s="14">
        <v>385000</v>
      </c>
      <c r="K14" s="22" t="s">
        <v>403</v>
      </c>
      <c r="M14">
        <f t="shared" si="0"/>
        <v>38500</v>
      </c>
    </row>
    <row r="15" spans="1:20" x14ac:dyDescent="0.35">
      <c r="A15" s="21" t="s">
        <v>228</v>
      </c>
      <c r="B15" s="25">
        <v>45376</v>
      </c>
      <c r="C15" s="7">
        <v>1016</v>
      </c>
      <c r="D15" s="7" t="s">
        <v>92</v>
      </c>
      <c r="E15" s="7" t="s">
        <v>71</v>
      </c>
      <c r="F15" s="7" t="s">
        <v>132</v>
      </c>
      <c r="G15" s="7" t="s">
        <v>116</v>
      </c>
      <c r="H15" s="7">
        <v>6</v>
      </c>
      <c r="I15" s="7">
        <v>55000</v>
      </c>
      <c r="J15" s="14">
        <v>330000</v>
      </c>
      <c r="K15" s="22" t="s">
        <v>407</v>
      </c>
      <c r="M15">
        <f t="shared" si="0"/>
        <v>33000</v>
      </c>
    </row>
    <row r="16" spans="1:20" x14ac:dyDescent="0.35">
      <c r="A16" s="21" t="s">
        <v>232</v>
      </c>
      <c r="B16" s="25">
        <v>45387</v>
      </c>
      <c r="C16" s="7">
        <v>1013</v>
      </c>
      <c r="D16" s="7" t="s">
        <v>89</v>
      </c>
      <c r="E16" s="7" t="s">
        <v>82</v>
      </c>
      <c r="F16" s="7" t="s">
        <v>122</v>
      </c>
      <c r="G16" s="7" t="s">
        <v>116</v>
      </c>
      <c r="H16" s="7">
        <v>14</v>
      </c>
      <c r="I16" s="7">
        <v>22000</v>
      </c>
      <c r="J16" s="14">
        <v>308000</v>
      </c>
      <c r="K16" s="22" t="s">
        <v>408</v>
      </c>
      <c r="M16">
        <f t="shared" si="0"/>
        <v>30800</v>
      </c>
    </row>
    <row r="17" spans="1:13" x14ac:dyDescent="0.35">
      <c r="A17" s="21" t="s">
        <v>185</v>
      </c>
      <c r="B17" s="25">
        <v>45336</v>
      </c>
      <c r="C17" s="7">
        <v>1008</v>
      </c>
      <c r="D17" s="7" t="s">
        <v>83</v>
      </c>
      <c r="E17" s="7" t="s">
        <v>82</v>
      </c>
      <c r="F17" s="7" t="s">
        <v>122</v>
      </c>
      <c r="G17" s="7" t="s">
        <v>116</v>
      </c>
      <c r="H17" s="7">
        <v>13</v>
      </c>
      <c r="I17" s="7">
        <v>22000</v>
      </c>
      <c r="J17" s="14">
        <v>286000</v>
      </c>
      <c r="K17" s="22" t="s">
        <v>409</v>
      </c>
      <c r="M17">
        <f t="shared" si="0"/>
        <v>28600</v>
      </c>
    </row>
    <row r="18" spans="1:13" x14ac:dyDescent="0.35">
      <c r="A18" s="21" t="s">
        <v>291</v>
      </c>
      <c r="B18" s="25">
        <v>45371</v>
      </c>
      <c r="C18" s="7">
        <v>1002</v>
      </c>
      <c r="D18" s="7" t="s">
        <v>73</v>
      </c>
      <c r="E18" s="7" t="s">
        <v>74</v>
      </c>
      <c r="F18" s="7" t="s">
        <v>122</v>
      </c>
      <c r="G18" s="7" t="s">
        <v>116</v>
      </c>
      <c r="H18" s="7">
        <v>13</v>
      </c>
      <c r="I18" s="7">
        <v>22000</v>
      </c>
      <c r="J18" s="14">
        <v>286000</v>
      </c>
      <c r="K18" s="22" t="s">
        <v>410</v>
      </c>
      <c r="M18">
        <f t="shared" si="0"/>
        <v>28600</v>
      </c>
    </row>
    <row r="19" spans="1:13" x14ac:dyDescent="0.35">
      <c r="A19" s="21" t="s">
        <v>276</v>
      </c>
      <c r="B19" s="25">
        <v>45386</v>
      </c>
      <c r="C19" s="7">
        <v>1006</v>
      </c>
      <c r="D19" s="7" t="s">
        <v>79</v>
      </c>
      <c r="E19" s="7" t="s">
        <v>80</v>
      </c>
      <c r="F19" s="7" t="s">
        <v>132</v>
      </c>
      <c r="G19" s="7" t="s">
        <v>116</v>
      </c>
      <c r="H19" s="7">
        <v>5</v>
      </c>
      <c r="I19" s="7">
        <v>55000</v>
      </c>
      <c r="J19" s="14">
        <v>275000</v>
      </c>
      <c r="K19" s="22" t="s">
        <v>403</v>
      </c>
      <c r="M19">
        <f t="shared" si="0"/>
        <v>27500</v>
      </c>
    </row>
    <row r="20" spans="1:13" x14ac:dyDescent="0.35">
      <c r="A20" s="21" t="s">
        <v>133</v>
      </c>
      <c r="B20" s="25">
        <v>45378</v>
      </c>
      <c r="C20" s="7">
        <v>1001</v>
      </c>
      <c r="D20" s="7" t="s">
        <v>70</v>
      </c>
      <c r="E20" s="7" t="s">
        <v>71</v>
      </c>
      <c r="F20" s="7" t="s">
        <v>124</v>
      </c>
      <c r="G20" s="7" t="s">
        <v>116</v>
      </c>
      <c r="H20" s="7">
        <v>15</v>
      </c>
      <c r="I20" s="7">
        <v>18000</v>
      </c>
      <c r="J20" s="14">
        <v>270000</v>
      </c>
      <c r="K20" s="22" t="s">
        <v>411</v>
      </c>
      <c r="M20">
        <f t="shared" si="0"/>
        <v>27000</v>
      </c>
    </row>
    <row r="21" spans="1:13" x14ac:dyDescent="0.35">
      <c r="A21" s="21" t="s">
        <v>154</v>
      </c>
      <c r="B21" s="25">
        <v>45328</v>
      </c>
      <c r="C21" s="7">
        <v>1001</v>
      </c>
      <c r="D21" s="7" t="s">
        <v>70</v>
      </c>
      <c r="E21" s="7" t="s">
        <v>71</v>
      </c>
      <c r="F21" s="7" t="s">
        <v>124</v>
      </c>
      <c r="G21" s="7" t="s">
        <v>116</v>
      </c>
      <c r="H21" s="7">
        <v>15</v>
      </c>
      <c r="I21" s="7">
        <v>18000</v>
      </c>
      <c r="J21" s="14">
        <v>270000</v>
      </c>
      <c r="K21" s="22" t="s">
        <v>411</v>
      </c>
      <c r="M21">
        <f t="shared" si="0"/>
        <v>27000</v>
      </c>
    </row>
    <row r="22" spans="1:13" x14ac:dyDescent="0.35">
      <c r="A22" s="21" t="s">
        <v>186</v>
      </c>
      <c r="B22" s="25">
        <v>45377</v>
      </c>
      <c r="C22" s="7">
        <v>1001</v>
      </c>
      <c r="D22" s="7" t="s">
        <v>70</v>
      </c>
      <c r="E22" s="7" t="s">
        <v>71</v>
      </c>
      <c r="F22" s="7" t="s">
        <v>122</v>
      </c>
      <c r="G22" s="7" t="s">
        <v>116</v>
      </c>
      <c r="H22" s="7">
        <v>12</v>
      </c>
      <c r="I22" s="7">
        <v>22000</v>
      </c>
      <c r="J22" s="14">
        <v>264000</v>
      </c>
      <c r="K22" s="22" t="s">
        <v>411</v>
      </c>
      <c r="M22">
        <f t="shared" si="0"/>
        <v>26400</v>
      </c>
    </row>
    <row r="23" spans="1:13" x14ac:dyDescent="0.35">
      <c r="A23" s="21" t="s">
        <v>224</v>
      </c>
      <c r="B23" s="25">
        <v>45325</v>
      </c>
      <c r="C23" s="7">
        <v>1013</v>
      </c>
      <c r="D23" s="7" t="s">
        <v>89</v>
      </c>
      <c r="E23" s="7" t="s">
        <v>82</v>
      </c>
      <c r="F23" s="7" t="s">
        <v>122</v>
      </c>
      <c r="G23" s="7" t="s">
        <v>116</v>
      </c>
      <c r="H23" s="7">
        <v>12</v>
      </c>
      <c r="I23" s="7">
        <v>22000</v>
      </c>
      <c r="J23" s="14">
        <v>264000</v>
      </c>
      <c r="K23" s="22" t="s">
        <v>408</v>
      </c>
      <c r="M23">
        <f t="shared" si="0"/>
        <v>26400</v>
      </c>
    </row>
    <row r="24" spans="1:13" x14ac:dyDescent="0.35">
      <c r="A24" s="21" t="s">
        <v>274</v>
      </c>
      <c r="B24" s="25">
        <v>45310</v>
      </c>
      <c r="C24" s="7">
        <v>1016</v>
      </c>
      <c r="D24" s="7" t="s">
        <v>92</v>
      </c>
      <c r="E24" s="7" t="s">
        <v>71</v>
      </c>
      <c r="F24" s="7" t="s">
        <v>124</v>
      </c>
      <c r="G24" s="7" t="s">
        <v>116</v>
      </c>
      <c r="H24" s="7">
        <v>14</v>
      </c>
      <c r="I24" s="7">
        <v>18000</v>
      </c>
      <c r="J24" s="14">
        <v>252000</v>
      </c>
      <c r="K24" s="22" t="s">
        <v>407</v>
      </c>
      <c r="M24">
        <f t="shared" si="0"/>
        <v>25200</v>
      </c>
    </row>
    <row r="25" spans="1:13" x14ac:dyDescent="0.35">
      <c r="A25" s="21" t="s">
        <v>121</v>
      </c>
      <c r="B25" s="25">
        <v>45348</v>
      </c>
      <c r="C25" s="7">
        <v>1004</v>
      </c>
      <c r="D25" s="7" t="s">
        <v>77</v>
      </c>
      <c r="E25" s="7" t="s">
        <v>71</v>
      </c>
      <c r="F25" s="7" t="s">
        <v>122</v>
      </c>
      <c r="G25" s="7" t="s">
        <v>116</v>
      </c>
      <c r="H25" s="7">
        <v>11</v>
      </c>
      <c r="I25" s="7">
        <v>22000</v>
      </c>
      <c r="J25" s="14">
        <v>242000</v>
      </c>
      <c r="K25" s="22" t="s">
        <v>412</v>
      </c>
      <c r="M25">
        <f t="shared" si="0"/>
        <v>24200</v>
      </c>
    </row>
    <row r="26" spans="1:13" x14ac:dyDescent="0.35">
      <c r="A26" s="21" t="s">
        <v>248</v>
      </c>
      <c r="B26" s="25">
        <v>45438</v>
      </c>
      <c r="C26" s="7">
        <v>1020</v>
      </c>
      <c r="D26" s="7" t="s">
        <v>96</v>
      </c>
      <c r="E26" s="7" t="s">
        <v>80</v>
      </c>
      <c r="F26" s="7" t="s">
        <v>124</v>
      </c>
      <c r="G26" s="7" t="s">
        <v>116</v>
      </c>
      <c r="H26" s="7">
        <v>13</v>
      </c>
      <c r="I26" s="7">
        <v>18000</v>
      </c>
      <c r="J26" s="14">
        <v>234000</v>
      </c>
      <c r="K26" s="22" t="s">
        <v>400</v>
      </c>
      <c r="M26">
        <f t="shared" si="0"/>
        <v>23400</v>
      </c>
    </row>
    <row r="27" spans="1:13" x14ac:dyDescent="0.35">
      <c r="A27" s="21" t="s">
        <v>143</v>
      </c>
      <c r="B27" s="25">
        <v>45293</v>
      </c>
      <c r="C27" s="7">
        <v>1003</v>
      </c>
      <c r="D27" s="7" t="s">
        <v>76</v>
      </c>
      <c r="E27" s="7" t="s">
        <v>71</v>
      </c>
      <c r="F27" s="7" t="s">
        <v>132</v>
      </c>
      <c r="G27" s="7" t="s">
        <v>116</v>
      </c>
      <c r="H27" s="7">
        <v>4</v>
      </c>
      <c r="I27" s="7">
        <v>55000</v>
      </c>
      <c r="J27" s="14">
        <v>220000</v>
      </c>
      <c r="K27" s="22" t="s">
        <v>413</v>
      </c>
      <c r="M27">
        <f t="shared" si="0"/>
        <v>22000</v>
      </c>
    </row>
    <row r="28" spans="1:13" x14ac:dyDescent="0.35">
      <c r="A28" s="21" t="s">
        <v>210</v>
      </c>
      <c r="B28" s="25">
        <v>45402</v>
      </c>
      <c r="C28" s="7">
        <v>1001</v>
      </c>
      <c r="D28" s="7" t="s">
        <v>70</v>
      </c>
      <c r="E28" s="7" t="s">
        <v>71</v>
      </c>
      <c r="F28" s="7" t="s">
        <v>132</v>
      </c>
      <c r="G28" s="7" t="s">
        <v>116</v>
      </c>
      <c r="H28" s="7">
        <v>4</v>
      </c>
      <c r="I28" s="7">
        <v>55000</v>
      </c>
      <c r="J28" s="14">
        <v>220000</v>
      </c>
      <c r="K28" s="22" t="s">
        <v>411</v>
      </c>
      <c r="M28">
        <f t="shared" si="0"/>
        <v>22000</v>
      </c>
    </row>
    <row r="29" spans="1:13" x14ac:dyDescent="0.35">
      <c r="A29" s="21" t="s">
        <v>226</v>
      </c>
      <c r="B29" s="25">
        <v>45395</v>
      </c>
      <c r="C29" s="7">
        <v>1014</v>
      </c>
      <c r="D29" s="7" t="s">
        <v>90</v>
      </c>
      <c r="E29" s="7" t="s">
        <v>74</v>
      </c>
      <c r="F29" s="7" t="s">
        <v>132</v>
      </c>
      <c r="G29" s="7" t="s">
        <v>116</v>
      </c>
      <c r="H29" s="7">
        <v>4</v>
      </c>
      <c r="I29" s="7">
        <v>55000</v>
      </c>
      <c r="J29" s="14">
        <v>220000</v>
      </c>
      <c r="K29" s="22" t="s">
        <v>414</v>
      </c>
      <c r="M29">
        <f t="shared" si="0"/>
        <v>22000</v>
      </c>
    </row>
    <row r="30" spans="1:13" x14ac:dyDescent="0.35">
      <c r="A30" s="21" t="s">
        <v>240</v>
      </c>
      <c r="B30" s="25">
        <v>45349</v>
      </c>
      <c r="C30" s="7">
        <v>1002</v>
      </c>
      <c r="D30" s="7" t="s">
        <v>73</v>
      </c>
      <c r="E30" s="7" t="s">
        <v>74</v>
      </c>
      <c r="F30" s="7" t="s">
        <v>132</v>
      </c>
      <c r="G30" s="7" t="s">
        <v>116</v>
      </c>
      <c r="H30" s="7">
        <v>4</v>
      </c>
      <c r="I30" s="7">
        <v>55000</v>
      </c>
      <c r="J30" s="14">
        <v>220000</v>
      </c>
      <c r="K30" s="22" t="s">
        <v>410</v>
      </c>
      <c r="M30">
        <f t="shared" si="0"/>
        <v>22000</v>
      </c>
    </row>
    <row r="31" spans="1:13" x14ac:dyDescent="0.35">
      <c r="A31" s="21" t="s">
        <v>243</v>
      </c>
      <c r="B31" s="25">
        <v>45436</v>
      </c>
      <c r="C31" s="7">
        <v>1012</v>
      </c>
      <c r="D31" s="7" t="s">
        <v>88</v>
      </c>
      <c r="E31" s="7" t="s">
        <v>71</v>
      </c>
      <c r="F31" s="7" t="s">
        <v>122</v>
      </c>
      <c r="G31" s="7" t="s">
        <v>116</v>
      </c>
      <c r="H31" s="7">
        <v>10</v>
      </c>
      <c r="I31" s="7">
        <v>22000</v>
      </c>
      <c r="J31" s="14">
        <v>220000</v>
      </c>
      <c r="K31" s="22" t="s">
        <v>415</v>
      </c>
      <c r="M31">
        <f t="shared" si="0"/>
        <v>22000</v>
      </c>
    </row>
    <row r="32" spans="1:13" x14ac:dyDescent="0.35">
      <c r="A32" s="21" t="s">
        <v>135</v>
      </c>
      <c r="B32" s="25">
        <v>45409</v>
      </c>
      <c r="C32" s="7">
        <v>1003</v>
      </c>
      <c r="D32" s="7" t="s">
        <v>76</v>
      </c>
      <c r="E32" s="7" t="s">
        <v>71</v>
      </c>
      <c r="F32" s="7" t="s">
        <v>124</v>
      </c>
      <c r="G32" s="7" t="s">
        <v>116</v>
      </c>
      <c r="H32" s="7">
        <v>12</v>
      </c>
      <c r="I32" s="7">
        <v>18000</v>
      </c>
      <c r="J32" s="14">
        <v>216000</v>
      </c>
      <c r="K32" s="22" t="s">
        <v>413</v>
      </c>
      <c r="M32">
        <f t="shared" si="0"/>
        <v>21600</v>
      </c>
    </row>
    <row r="33" spans="1:13" x14ac:dyDescent="0.35">
      <c r="A33" s="21" t="s">
        <v>247</v>
      </c>
      <c r="B33" s="25">
        <v>45379</v>
      </c>
      <c r="C33" s="7">
        <v>1008</v>
      </c>
      <c r="D33" s="7" t="s">
        <v>83</v>
      </c>
      <c r="E33" s="7" t="s">
        <v>82</v>
      </c>
      <c r="F33" s="7" t="s">
        <v>124</v>
      </c>
      <c r="G33" s="7" t="s">
        <v>116</v>
      </c>
      <c r="H33" s="7">
        <v>12</v>
      </c>
      <c r="I33" s="7">
        <v>18000</v>
      </c>
      <c r="J33" s="14">
        <v>216000</v>
      </c>
      <c r="K33" s="22" t="s">
        <v>409</v>
      </c>
      <c r="M33">
        <f t="shared" si="0"/>
        <v>21600</v>
      </c>
    </row>
    <row r="34" spans="1:13" x14ac:dyDescent="0.35">
      <c r="A34" s="21" t="s">
        <v>180</v>
      </c>
      <c r="B34" s="25">
        <v>45318</v>
      </c>
      <c r="C34" s="7">
        <v>1003</v>
      </c>
      <c r="D34" s="7" t="s">
        <v>76</v>
      </c>
      <c r="E34" s="7" t="s">
        <v>71</v>
      </c>
      <c r="F34" s="7" t="s">
        <v>122</v>
      </c>
      <c r="G34" s="7" t="s">
        <v>116</v>
      </c>
      <c r="H34" s="7">
        <v>9</v>
      </c>
      <c r="I34" s="7">
        <v>22000</v>
      </c>
      <c r="J34" s="14">
        <v>198000</v>
      </c>
      <c r="K34" s="22" t="s">
        <v>413</v>
      </c>
      <c r="M34">
        <f t="shared" si="0"/>
        <v>19800</v>
      </c>
    </row>
    <row r="35" spans="1:13" x14ac:dyDescent="0.35">
      <c r="A35" s="21" t="s">
        <v>162</v>
      </c>
      <c r="B35" s="25">
        <v>45313</v>
      </c>
      <c r="C35" s="7">
        <v>1006</v>
      </c>
      <c r="D35" s="7" t="s">
        <v>79</v>
      </c>
      <c r="E35" s="7" t="s">
        <v>80</v>
      </c>
      <c r="F35" s="7" t="s">
        <v>124</v>
      </c>
      <c r="G35" s="7" t="s">
        <v>116</v>
      </c>
      <c r="H35" s="7">
        <v>10</v>
      </c>
      <c r="I35" s="7">
        <v>18000</v>
      </c>
      <c r="J35" s="14">
        <v>180000</v>
      </c>
      <c r="K35" s="22" t="s">
        <v>403</v>
      </c>
      <c r="M35">
        <f t="shared" si="0"/>
        <v>18000</v>
      </c>
    </row>
    <row r="36" spans="1:13" x14ac:dyDescent="0.35">
      <c r="A36" s="21" t="s">
        <v>258</v>
      </c>
      <c r="B36" s="25">
        <v>45334</v>
      </c>
      <c r="C36" s="7">
        <v>1011</v>
      </c>
      <c r="D36" s="7" t="s">
        <v>87</v>
      </c>
      <c r="E36" s="7" t="s">
        <v>82</v>
      </c>
      <c r="F36" s="7" t="s">
        <v>122</v>
      </c>
      <c r="G36" s="7" t="s">
        <v>116</v>
      </c>
      <c r="H36" s="7">
        <v>8</v>
      </c>
      <c r="I36" s="7">
        <v>22000</v>
      </c>
      <c r="J36" s="14">
        <v>176000</v>
      </c>
      <c r="K36" s="22" t="s">
        <v>416</v>
      </c>
      <c r="M36">
        <f t="shared" ref="M36:M68" si="1">J36*$L$1</f>
        <v>17600</v>
      </c>
    </row>
    <row r="37" spans="1:13" x14ac:dyDescent="0.35">
      <c r="A37" s="21" t="s">
        <v>156</v>
      </c>
      <c r="B37" s="25">
        <v>45383</v>
      </c>
      <c r="C37" s="7">
        <v>1013</v>
      </c>
      <c r="D37" s="7" t="s">
        <v>89</v>
      </c>
      <c r="E37" s="7" t="s">
        <v>82</v>
      </c>
      <c r="F37" s="7" t="s">
        <v>132</v>
      </c>
      <c r="G37" s="7" t="s">
        <v>116</v>
      </c>
      <c r="H37" s="7">
        <v>3</v>
      </c>
      <c r="I37" s="7">
        <v>55000</v>
      </c>
      <c r="J37" s="14">
        <v>165000</v>
      </c>
      <c r="K37" s="22" t="s">
        <v>408</v>
      </c>
      <c r="M37">
        <f t="shared" si="1"/>
        <v>16500</v>
      </c>
    </row>
    <row r="38" spans="1:13" x14ac:dyDescent="0.35">
      <c r="A38" s="21" t="s">
        <v>144</v>
      </c>
      <c r="B38" s="25">
        <v>45331</v>
      </c>
      <c r="C38" s="7">
        <v>1011</v>
      </c>
      <c r="D38" s="7" t="s">
        <v>87</v>
      </c>
      <c r="E38" s="7" t="s">
        <v>82</v>
      </c>
      <c r="F38" s="7" t="s">
        <v>124</v>
      </c>
      <c r="G38" s="7" t="s">
        <v>116</v>
      </c>
      <c r="H38" s="7">
        <v>9</v>
      </c>
      <c r="I38" s="7">
        <v>18000</v>
      </c>
      <c r="J38" s="14">
        <v>162000</v>
      </c>
      <c r="K38" s="22" t="s">
        <v>416</v>
      </c>
      <c r="M38">
        <f t="shared" si="1"/>
        <v>16200</v>
      </c>
    </row>
    <row r="39" spans="1:13" x14ac:dyDescent="0.35">
      <c r="A39" s="21" t="s">
        <v>250</v>
      </c>
      <c r="B39" s="25">
        <v>45454</v>
      </c>
      <c r="C39" s="7">
        <v>1012</v>
      </c>
      <c r="D39" s="7" t="s">
        <v>88</v>
      </c>
      <c r="E39" s="7" t="s">
        <v>71</v>
      </c>
      <c r="F39" s="7" t="s">
        <v>124</v>
      </c>
      <c r="G39" s="7" t="s">
        <v>116</v>
      </c>
      <c r="H39" s="7">
        <v>9</v>
      </c>
      <c r="I39" s="7">
        <v>18000</v>
      </c>
      <c r="J39" s="14">
        <v>162000</v>
      </c>
      <c r="K39" s="22" t="s">
        <v>415</v>
      </c>
      <c r="M39">
        <f t="shared" si="1"/>
        <v>16200</v>
      </c>
    </row>
    <row r="40" spans="1:13" x14ac:dyDescent="0.35">
      <c r="A40" s="21" t="s">
        <v>181</v>
      </c>
      <c r="B40" s="25">
        <v>45324</v>
      </c>
      <c r="C40" s="7">
        <v>1012</v>
      </c>
      <c r="D40" s="7" t="s">
        <v>88</v>
      </c>
      <c r="E40" s="7" t="s">
        <v>71</v>
      </c>
      <c r="F40" s="7" t="s">
        <v>122</v>
      </c>
      <c r="G40" s="7" t="s">
        <v>116</v>
      </c>
      <c r="H40" s="7">
        <v>7</v>
      </c>
      <c r="I40" s="7">
        <v>22000</v>
      </c>
      <c r="J40" s="14">
        <v>154000</v>
      </c>
      <c r="K40" s="22" t="s">
        <v>415</v>
      </c>
      <c r="M40">
        <f t="shared" si="1"/>
        <v>15400</v>
      </c>
    </row>
    <row r="41" spans="1:13" x14ac:dyDescent="0.35">
      <c r="A41" s="21" t="s">
        <v>157</v>
      </c>
      <c r="B41" s="25">
        <v>45392</v>
      </c>
      <c r="C41" s="7">
        <v>1013</v>
      </c>
      <c r="D41" s="7" t="s">
        <v>89</v>
      </c>
      <c r="E41" s="7" t="s">
        <v>82</v>
      </c>
      <c r="F41" s="7" t="s">
        <v>118</v>
      </c>
      <c r="G41" s="7" t="s">
        <v>116</v>
      </c>
      <c r="H41" s="7">
        <v>15</v>
      </c>
      <c r="I41" s="7">
        <v>9000</v>
      </c>
      <c r="J41" s="14">
        <v>135000</v>
      </c>
      <c r="K41" s="22" t="s">
        <v>408</v>
      </c>
      <c r="M41">
        <f t="shared" si="1"/>
        <v>13500</v>
      </c>
    </row>
    <row r="42" spans="1:13" x14ac:dyDescent="0.35">
      <c r="A42" s="21" t="s">
        <v>172</v>
      </c>
      <c r="B42" s="25">
        <v>45447</v>
      </c>
      <c r="C42" s="7">
        <v>1001</v>
      </c>
      <c r="D42" s="7" t="s">
        <v>70</v>
      </c>
      <c r="E42" s="7" t="s">
        <v>71</v>
      </c>
      <c r="F42" s="7" t="s">
        <v>118</v>
      </c>
      <c r="G42" s="7" t="s">
        <v>116</v>
      </c>
      <c r="H42" s="7">
        <v>15</v>
      </c>
      <c r="I42" s="7">
        <v>9000</v>
      </c>
      <c r="J42" s="14">
        <v>135000</v>
      </c>
      <c r="K42" s="22" t="s">
        <v>411</v>
      </c>
      <c r="M42">
        <f t="shared" si="1"/>
        <v>13500</v>
      </c>
    </row>
    <row r="43" spans="1:13" x14ac:dyDescent="0.35">
      <c r="A43" s="21" t="s">
        <v>256</v>
      </c>
      <c r="B43" s="25">
        <v>45390</v>
      </c>
      <c r="C43" s="7">
        <v>1003</v>
      </c>
      <c r="D43" s="7" t="s">
        <v>76</v>
      </c>
      <c r="E43" s="7" t="s">
        <v>71</v>
      </c>
      <c r="F43" s="7" t="s">
        <v>118</v>
      </c>
      <c r="G43" s="7" t="s">
        <v>116</v>
      </c>
      <c r="H43" s="7">
        <v>15</v>
      </c>
      <c r="I43" s="7">
        <v>9000</v>
      </c>
      <c r="J43" s="14">
        <v>135000</v>
      </c>
      <c r="K43" s="22" t="s">
        <v>413</v>
      </c>
      <c r="M43">
        <f t="shared" si="1"/>
        <v>13500</v>
      </c>
    </row>
    <row r="44" spans="1:13" x14ac:dyDescent="0.35">
      <c r="A44" s="21" t="s">
        <v>123</v>
      </c>
      <c r="B44" s="25">
        <v>45402</v>
      </c>
      <c r="C44" s="7">
        <v>1014</v>
      </c>
      <c r="D44" s="7" t="s">
        <v>90</v>
      </c>
      <c r="E44" s="7" t="s">
        <v>74</v>
      </c>
      <c r="F44" s="7" t="s">
        <v>124</v>
      </c>
      <c r="G44" s="7" t="s">
        <v>116</v>
      </c>
      <c r="H44" s="7">
        <v>7</v>
      </c>
      <c r="I44" s="7">
        <v>18000</v>
      </c>
      <c r="J44" s="14">
        <v>126000</v>
      </c>
      <c r="K44" s="22" t="s">
        <v>414</v>
      </c>
      <c r="M44">
        <f t="shared" si="1"/>
        <v>12600</v>
      </c>
    </row>
    <row r="45" spans="1:13" x14ac:dyDescent="0.35">
      <c r="A45" s="21" t="s">
        <v>129</v>
      </c>
      <c r="B45" s="25">
        <v>45460</v>
      </c>
      <c r="C45" s="7">
        <v>1004</v>
      </c>
      <c r="D45" s="7" t="s">
        <v>77</v>
      </c>
      <c r="E45" s="7" t="s">
        <v>71</v>
      </c>
      <c r="F45" s="7" t="s">
        <v>118</v>
      </c>
      <c r="G45" s="7" t="s">
        <v>116</v>
      </c>
      <c r="H45" s="7">
        <v>14</v>
      </c>
      <c r="I45" s="7">
        <v>9000</v>
      </c>
      <c r="J45" s="14">
        <v>126000</v>
      </c>
      <c r="K45" s="22" t="s">
        <v>412</v>
      </c>
      <c r="M45">
        <f t="shared" si="1"/>
        <v>12600</v>
      </c>
    </row>
    <row r="46" spans="1:13" x14ac:dyDescent="0.35">
      <c r="A46" s="21" t="s">
        <v>196</v>
      </c>
      <c r="B46" s="25">
        <v>45419</v>
      </c>
      <c r="C46" s="7">
        <v>1020</v>
      </c>
      <c r="D46" s="7" t="s">
        <v>96</v>
      </c>
      <c r="E46" s="7" t="s">
        <v>80</v>
      </c>
      <c r="F46" s="7" t="s">
        <v>124</v>
      </c>
      <c r="G46" s="7" t="s">
        <v>116</v>
      </c>
      <c r="H46" s="7">
        <v>7</v>
      </c>
      <c r="I46" s="7">
        <v>18000</v>
      </c>
      <c r="J46" s="14">
        <v>126000</v>
      </c>
      <c r="K46" s="22" t="s">
        <v>400</v>
      </c>
      <c r="M46">
        <f t="shared" si="1"/>
        <v>12600</v>
      </c>
    </row>
    <row r="47" spans="1:13" x14ac:dyDescent="0.35">
      <c r="A47" s="21" t="s">
        <v>290</v>
      </c>
      <c r="B47" s="25">
        <v>45325</v>
      </c>
      <c r="C47" s="7">
        <v>1005</v>
      </c>
      <c r="D47" s="7" t="s">
        <v>78</v>
      </c>
      <c r="E47" s="7" t="s">
        <v>71</v>
      </c>
      <c r="F47" s="7" t="s">
        <v>118</v>
      </c>
      <c r="G47" s="7" t="s">
        <v>116</v>
      </c>
      <c r="H47" s="7">
        <v>14</v>
      </c>
      <c r="I47" s="7">
        <v>9000</v>
      </c>
      <c r="J47" s="14">
        <v>126000</v>
      </c>
      <c r="K47" s="22" t="s">
        <v>399</v>
      </c>
      <c r="M47">
        <f t="shared" si="1"/>
        <v>12600</v>
      </c>
    </row>
    <row r="48" spans="1:13" x14ac:dyDescent="0.35">
      <c r="A48" s="21" t="s">
        <v>126</v>
      </c>
      <c r="B48" s="25">
        <v>45454</v>
      </c>
      <c r="C48" s="7">
        <v>1004</v>
      </c>
      <c r="D48" s="7" t="s">
        <v>77</v>
      </c>
      <c r="E48" s="7" t="s">
        <v>71</v>
      </c>
      <c r="F48" s="7" t="s">
        <v>118</v>
      </c>
      <c r="G48" s="7" t="s">
        <v>116</v>
      </c>
      <c r="H48" s="7">
        <v>13</v>
      </c>
      <c r="I48" s="7">
        <v>9000</v>
      </c>
      <c r="J48" s="14">
        <v>117000</v>
      </c>
      <c r="K48" s="22" t="s">
        <v>412</v>
      </c>
      <c r="M48">
        <f t="shared" si="1"/>
        <v>11700</v>
      </c>
    </row>
    <row r="49" spans="1:13" x14ac:dyDescent="0.35">
      <c r="A49" s="21" t="s">
        <v>220</v>
      </c>
      <c r="B49" s="25">
        <v>45428</v>
      </c>
      <c r="C49" s="7">
        <v>1008</v>
      </c>
      <c r="D49" s="7" t="s">
        <v>83</v>
      </c>
      <c r="E49" s="7" t="s">
        <v>82</v>
      </c>
      <c r="F49" s="7" t="s">
        <v>118</v>
      </c>
      <c r="G49" s="7" t="s">
        <v>116</v>
      </c>
      <c r="H49" s="7">
        <v>13</v>
      </c>
      <c r="I49" s="7">
        <v>9000</v>
      </c>
      <c r="J49" s="14">
        <v>117000</v>
      </c>
      <c r="K49" s="22" t="s">
        <v>409</v>
      </c>
      <c r="M49">
        <f t="shared" si="1"/>
        <v>11700</v>
      </c>
    </row>
    <row r="50" spans="1:13" x14ac:dyDescent="0.35">
      <c r="A50" s="21" t="s">
        <v>288</v>
      </c>
      <c r="B50" s="25">
        <v>45462</v>
      </c>
      <c r="C50" s="7">
        <v>1008</v>
      </c>
      <c r="D50" s="7" t="s">
        <v>83</v>
      </c>
      <c r="E50" s="7" t="s">
        <v>82</v>
      </c>
      <c r="F50" s="7" t="s">
        <v>118</v>
      </c>
      <c r="G50" s="7" t="s">
        <v>116</v>
      </c>
      <c r="H50" s="7">
        <v>13</v>
      </c>
      <c r="I50" s="7">
        <v>9000</v>
      </c>
      <c r="J50" s="14">
        <v>117000</v>
      </c>
      <c r="K50" s="22" t="s">
        <v>409</v>
      </c>
      <c r="M50">
        <f t="shared" si="1"/>
        <v>11700</v>
      </c>
    </row>
    <row r="51" spans="1:13" x14ac:dyDescent="0.35">
      <c r="A51" s="21" t="s">
        <v>137</v>
      </c>
      <c r="B51" s="25">
        <v>45440</v>
      </c>
      <c r="C51" s="7">
        <v>1018</v>
      </c>
      <c r="D51" s="7" t="s">
        <v>94</v>
      </c>
      <c r="E51" s="7" t="s">
        <v>74</v>
      </c>
      <c r="F51" s="7" t="s">
        <v>122</v>
      </c>
      <c r="G51" s="7" t="s">
        <v>116</v>
      </c>
      <c r="H51" s="7">
        <v>5</v>
      </c>
      <c r="I51" s="7">
        <v>22000</v>
      </c>
      <c r="J51" s="14">
        <v>110000</v>
      </c>
      <c r="K51" s="22" t="s">
        <v>417</v>
      </c>
      <c r="M51">
        <f t="shared" si="1"/>
        <v>11000</v>
      </c>
    </row>
    <row r="52" spans="1:13" x14ac:dyDescent="0.35">
      <c r="A52" s="21" t="s">
        <v>174</v>
      </c>
      <c r="B52" s="25">
        <v>45371</v>
      </c>
      <c r="C52" s="7">
        <v>1018</v>
      </c>
      <c r="D52" s="7" t="s">
        <v>94</v>
      </c>
      <c r="E52" s="7" t="s">
        <v>74</v>
      </c>
      <c r="F52" s="7" t="s">
        <v>122</v>
      </c>
      <c r="G52" s="7" t="s">
        <v>116</v>
      </c>
      <c r="H52" s="7">
        <v>5</v>
      </c>
      <c r="I52" s="7">
        <v>22000</v>
      </c>
      <c r="J52" s="14">
        <v>110000</v>
      </c>
      <c r="K52" s="22" t="s">
        <v>417</v>
      </c>
      <c r="M52">
        <f t="shared" si="1"/>
        <v>11000</v>
      </c>
    </row>
    <row r="53" spans="1:13" x14ac:dyDescent="0.35">
      <c r="A53" s="21" t="s">
        <v>234</v>
      </c>
      <c r="B53" s="25">
        <v>45457</v>
      </c>
      <c r="C53" s="7">
        <v>1019</v>
      </c>
      <c r="D53" s="7" t="s">
        <v>95</v>
      </c>
      <c r="E53" s="7" t="s">
        <v>74</v>
      </c>
      <c r="F53" s="7" t="s">
        <v>132</v>
      </c>
      <c r="G53" s="7" t="s">
        <v>116</v>
      </c>
      <c r="H53" s="7">
        <v>2</v>
      </c>
      <c r="I53" s="7">
        <v>55000</v>
      </c>
      <c r="J53" s="14">
        <v>110000</v>
      </c>
      <c r="K53" s="22" t="s">
        <v>401</v>
      </c>
      <c r="M53">
        <f t="shared" si="1"/>
        <v>11000</v>
      </c>
    </row>
    <row r="54" spans="1:13" x14ac:dyDescent="0.35">
      <c r="A54" s="21" t="s">
        <v>244</v>
      </c>
      <c r="B54" s="25">
        <v>45310</v>
      </c>
      <c r="C54" s="7">
        <v>1004</v>
      </c>
      <c r="D54" s="7" t="s">
        <v>77</v>
      </c>
      <c r="E54" s="7" t="s">
        <v>71</v>
      </c>
      <c r="F54" s="7" t="s">
        <v>122</v>
      </c>
      <c r="G54" s="7" t="s">
        <v>116</v>
      </c>
      <c r="H54" s="7">
        <v>5</v>
      </c>
      <c r="I54" s="7">
        <v>22000</v>
      </c>
      <c r="J54" s="14">
        <v>110000</v>
      </c>
      <c r="K54" s="22" t="s">
        <v>412</v>
      </c>
      <c r="M54">
        <f t="shared" si="1"/>
        <v>11000</v>
      </c>
    </row>
    <row r="55" spans="1:13" x14ac:dyDescent="0.35">
      <c r="A55" s="21" t="s">
        <v>263</v>
      </c>
      <c r="B55" s="25">
        <v>45359</v>
      </c>
      <c r="C55" s="7">
        <v>1015</v>
      </c>
      <c r="D55" s="7" t="s">
        <v>91</v>
      </c>
      <c r="E55" s="7" t="s">
        <v>74</v>
      </c>
      <c r="F55" s="7" t="s">
        <v>132</v>
      </c>
      <c r="G55" s="7" t="s">
        <v>116</v>
      </c>
      <c r="H55" s="7">
        <v>2</v>
      </c>
      <c r="I55" s="7">
        <v>55000</v>
      </c>
      <c r="J55" s="14">
        <v>110000</v>
      </c>
      <c r="K55" s="22" t="s">
        <v>406</v>
      </c>
      <c r="M55">
        <f t="shared" si="1"/>
        <v>11000</v>
      </c>
    </row>
    <row r="56" spans="1:13" x14ac:dyDescent="0.35">
      <c r="A56" s="21" t="s">
        <v>272</v>
      </c>
      <c r="B56" s="25">
        <v>45293</v>
      </c>
      <c r="C56" s="7">
        <v>1018</v>
      </c>
      <c r="D56" s="7" t="s">
        <v>94</v>
      </c>
      <c r="E56" s="7" t="s">
        <v>74</v>
      </c>
      <c r="F56" s="7" t="s">
        <v>122</v>
      </c>
      <c r="G56" s="7" t="s">
        <v>116</v>
      </c>
      <c r="H56" s="7">
        <v>5</v>
      </c>
      <c r="I56" s="7">
        <v>22000</v>
      </c>
      <c r="J56" s="14">
        <v>110000</v>
      </c>
      <c r="K56" s="22" t="s">
        <v>417</v>
      </c>
      <c r="M56">
        <f t="shared" si="1"/>
        <v>11000</v>
      </c>
    </row>
    <row r="57" spans="1:13" x14ac:dyDescent="0.35">
      <c r="A57" s="21" t="s">
        <v>117</v>
      </c>
      <c r="B57" s="25">
        <v>45426</v>
      </c>
      <c r="C57" s="7">
        <v>1008</v>
      </c>
      <c r="D57" s="7" t="s">
        <v>83</v>
      </c>
      <c r="E57" s="7" t="s">
        <v>82</v>
      </c>
      <c r="F57" s="7" t="s">
        <v>118</v>
      </c>
      <c r="G57" s="7" t="s">
        <v>116</v>
      </c>
      <c r="H57" s="7">
        <v>12</v>
      </c>
      <c r="I57" s="7">
        <v>9000</v>
      </c>
      <c r="J57" s="14">
        <v>108000</v>
      </c>
      <c r="K57" s="22" t="s">
        <v>409</v>
      </c>
      <c r="M57">
        <f t="shared" si="1"/>
        <v>10800</v>
      </c>
    </row>
    <row r="58" spans="1:13" x14ac:dyDescent="0.35">
      <c r="A58" s="21" t="s">
        <v>273</v>
      </c>
      <c r="B58" s="25">
        <v>45343</v>
      </c>
      <c r="C58" s="7">
        <v>1018</v>
      </c>
      <c r="D58" s="7" t="s">
        <v>94</v>
      </c>
      <c r="E58" s="7" t="s">
        <v>74</v>
      </c>
      <c r="F58" s="7" t="s">
        <v>118</v>
      </c>
      <c r="G58" s="7" t="s">
        <v>116</v>
      </c>
      <c r="H58" s="7">
        <v>12</v>
      </c>
      <c r="I58" s="7">
        <v>9000</v>
      </c>
      <c r="J58" s="14">
        <v>108000</v>
      </c>
      <c r="K58" s="22" t="s">
        <v>417</v>
      </c>
      <c r="M58">
        <f t="shared" si="1"/>
        <v>10800</v>
      </c>
    </row>
    <row r="59" spans="1:13" x14ac:dyDescent="0.35">
      <c r="A59" s="21" t="s">
        <v>287</v>
      </c>
      <c r="B59" s="25">
        <v>45385</v>
      </c>
      <c r="C59" s="7">
        <v>1010</v>
      </c>
      <c r="D59" s="7" t="s">
        <v>86</v>
      </c>
      <c r="E59" s="7" t="s">
        <v>71</v>
      </c>
      <c r="F59" s="7" t="s">
        <v>118</v>
      </c>
      <c r="G59" s="7" t="s">
        <v>116</v>
      </c>
      <c r="H59" s="7">
        <v>12</v>
      </c>
      <c r="I59" s="7">
        <v>9000</v>
      </c>
      <c r="J59" s="14">
        <v>108000</v>
      </c>
      <c r="K59" s="22" t="s">
        <v>405</v>
      </c>
      <c r="M59">
        <f t="shared" si="1"/>
        <v>10800</v>
      </c>
    </row>
    <row r="60" spans="1:13" x14ac:dyDescent="0.35">
      <c r="A60" s="21" t="s">
        <v>200</v>
      </c>
      <c r="B60" s="25">
        <v>45393</v>
      </c>
      <c r="C60" s="7">
        <v>1010</v>
      </c>
      <c r="D60" s="7" t="s">
        <v>86</v>
      </c>
      <c r="E60" s="7" t="s">
        <v>71</v>
      </c>
      <c r="F60" s="7" t="s">
        <v>118</v>
      </c>
      <c r="G60" s="7" t="s">
        <v>116</v>
      </c>
      <c r="H60" s="7">
        <v>11</v>
      </c>
      <c r="I60" s="7">
        <v>9000</v>
      </c>
      <c r="J60" s="14">
        <v>99000</v>
      </c>
      <c r="K60" s="22" t="s">
        <v>405</v>
      </c>
      <c r="M60">
        <f t="shared" si="1"/>
        <v>9900</v>
      </c>
    </row>
    <row r="61" spans="1:13" x14ac:dyDescent="0.35">
      <c r="A61" s="21" t="s">
        <v>140</v>
      </c>
      <c r="B61" s="25">
        <v>45427</v>
      </c>
      <c r="C61" s="7">
        <v>1012</v>
      </c>
      <c r="D61" s="7" t="s">
        <v>88</v>
      </c>
      <c r="E61" s="7" t="s">
        <v>71</v>
      </c>
      <c r="F61" s="7" t="s">
        <v>115</v>
      </c>
      <c r="G61" s="7" t="s">
        <v>116</v>
      </c>
      <c r="H61" s="7">
        <v>15</v>
      </c>
      <c r="I61" s="7">
        <v>6500</v>
      </c>
      <c r="J61" s="14">
        <v>97500</v>
      </c>
      <c r="K61" s="22" t="s">
        <v>415</v>
      </c>
      <c r="M61">
        <f t="shared" si="1"/>
        <v>9750</v>
      </c>
    </row>
    <row r="62" spans="1:13" x14ac:dyDescent="0.35">
      <c r="A62" s="21" t="s">
        <v>171</v>
      </c>
      <c r="B62" s="25">
        <v>45460</v>
      </c>
      <c r="C62" s="7">
        <v>1018</v>
      </c>
      <c r="D62" s="7" t="s">
        <v>94</v>
      </c>
      <c r="E62" s="7" t="s">
        <v>74</v>
      </c>
      <c r="F62" s="7" t="s">
        <v>118</v>
      </c>
      <c r="G62" s="7" t="s">
        <v>116</v>
      </c>
      <c r="H62" s="7">
        <v>10</v>
      </c>
      <c r="I62" s="7">
        <v>9000</v>
      </c>
      <c r="J62" s="14">
        <v>90000</v>
      </c>
      <c r="K62" s="22" t="s">
        <v>417</v>
      </c>
      <c r="M62">
        <f t="shared" si="1"/>
        <v>9000</v>
      </c>
    </row>
    <row r="63" spans="1:13" x14ac:dyDescent="0.35">
      <c r="A63" s="21" t="s">
        <v>245</v>
      </c>
      <c r="B63" s="25">
        <v>45456</v>
      </c>
      <c r="C63" s="7">
        <v>1001</v>
      </c>
      <c r="D63" s="7" t="s">
        <v>70</v>
      </c>
      <c r="E63" s="7" t="s">
        <v>71</v>
      </c>
      <c r="F63" s="7" t="s">
        <v>118</v>
      </c>
      <c r="G63" s="7" t="s">
        <v>116</v>
      </c>
      <c r="H63" s="7">
        <v>10</v>
      </c>
      <c r="I63" s="7">
        <v>9000</v>
      </c>
      <c r="J63" s="14">
        <v>90000</v>
      </c>
      <c r="K63" s="22" t="s">
        <v>411</v>
      </c>
      <c r="M63">
        <f t="shared" si="1"/>
        <v>9000</v>
      </c>
    </row>
    <row r="64" spans="1:13" x14ac:dyDescent="0.35">
      <c r="A64" s="21" t="s">
        <v>241</v>
      </c>
      <c r="B64" s="25">
        <v>45338</v>
      </c>
      <c r="C64" s="7">
        <v>1001</v>
      </c>
      <c r="D64" s="7" t="s">
        <v>70</v>
      </c>
      <c r="E64" s="7" t="s">
        <v>71</v>
      </c>
      <c r="F64" s="7" t="s">
        <v>122</v>
      </c>
      <c r="G64" s="7" t="s">
        <v>116</v>
      </c>
      <c r="H64" s="7">
        <v>4</v>
      </c>
      <c r="I64" s="7">
        <v>22000</v>
      </c>
      <c r="J64" s="14">
        <v>88000</v>
      </c>
      <c r="K64" s="22" t="s">
        <v>411</v>
      </c>
      <c r="M64">
        <f t="shared" si="1"/>
        <v>8800</v>
      </c>
    </row>
    <row r="65" spans="1:13" x14ac:dyDescent="0.35">
      <c r="A65" s="21" t="s">
        <v>206</v>
      </c>
      <c r="B65" s="25">
        <v>45449</v>
      </c>
      <c r="C65" s="7">
        <v>1007</v>
      </c>
      <c r="D65" s="7" t="s">
        <v>81</v>
      </c>
      <c r="E65" s="7" t="s">
        <v>82</v>
      </c>
      <c r="F65" s="7" t="s">
        <v>115</v>
      </c>
      <c r="G65" s="7" t="s">
        <v>116</v>
      </c>
      <c r="H65" s="7">
        <v>13</v>
      </c>
      <c r="I65" s="7">
        <v>6500</v>
      </c>
      <c r="J65" s="14">
        <v>84500</v>
      </c>
      <c r="K65" s="22" t="s">
        <v>404</v>
      </c>
      <c r="M65">
        <f t="shared" si="1"/>
        <v>8450</v>
      </c>
    </row>
    <row r="66" spans="1:13" x14ac:dyDescent="0.35">
      <c r="A66" s="21" t="s">
        <v>125</v>
      </c>
      <c r="B66" s="25">
        <v>45313</v>
      </c>
      <c r="C66" s="7">
        <v>1015</v>
      </c>
      <c r="D66" s="7" t="s">
        <v>91</v>
      </c>
      <c r="E66" s="7" t="s">
        <v>74</v>
      </c>
      <c r="F66" s="7" t="s">
        <v>118</v>
      </c>
      <c r="G66" s="7" t="s">
        <v>116</v>
      </c>
      <c r="H66" s="7">
        <v>9</v>
      </c>
      <c r="I66" s="7">
        <v>9000</v>
      </c>
      <c r="J66" s="14">
        <v>81000</v>
      </c>
      <c r="K66" s="22" t="s">
        <v>406</v>
      </c>
      <c r="M66">
        <f t="shared" si="1"/>
        <v>8100</v>
      </c>
    </row>
    <row r="67" spans="1:13" x14ac:dyDescent="0.35">
      <c r="A67" s="21" t="s">
        <v>128</v>
      </c>
      <c r="B67" s="25">
        <v>45339</v>
      </c>
      <c r="C67" s="7">
        <v>1001</v>
      </c>
      <c r="D67" s="7" t="s">
        <v>70</v>
      </c>
      <c r="E67" s="7" t="s">
        <v>71</v>
      </c>
      <c r="F67" s="7" t="s">
        <v>118</v>
      </c>
      <c r="G67" s="7" t="s">
        <v>116</v>
      </c>
      <c r="H67" s="7">
        <v>9</v>
      </c>
      <c r="I67" s="7">
        <v>9000</v>
      </c>
      <c r="J67" s="14">
        <v>81000</v>
      </c>
      <c r="K67" s="22" t="s">
        <v>411</v>
      </c>
      <c r="M67">
        <f t="shared" si="1"/>
        <v>8100</v>
      </c>
    </row>
    <row r="68" spans="1:13" x14ac:dyDescent="0.35">
      <c r="A68" s="21" t="s">
        <v>201</v>
      </c>
      <c r="B68" s="25">
        <v>45329</v>
      </c>
      <c r="C68" s="7">
        <v>1013</v>
      </c>
      <c r="D68" s="7" t="s">
        <v>89</v>
      </c>
      <c r="E68" s="7" t="s">
        <v>82</v>
      </c>
      <c r="F68" s="7" t="s">
        <v>118</v>
      </c>
      <c r="G68" s="7" t="s">
        <v>116</v>
      </c>
      <c r="H68" s="7">
        <v>9</v>
      </c>
      <c r="I68" s="7">
        <v>9000</v>
      </c>
      <c r="J68" s="14">
        <v>81000</v>
      </c>
      <c r="K68" s="22" t="s">
        <v>408</v>
      </c>
      <c r="M68">
        <f t="shared" si="1"/>
        <v>8100</v>
      </c>
    </row>
    <row r="69" spans="1:13" x14ac:dyDescent="0.35">
      <c r="A69" s="21" t="s">
        <v>207</v>
      </c>
      <c r="B69" s="25">
        <v>45464</v>
      </c>
      <c r="C69" s="7">
        <v>1003</v>
      </c>
      <c r="D69" s="7" t="s">
        <v>76</v>
      </c>
      <c r="E69" s="7" t="s">
        <v>71</v>
      </c>
      <c r="F69" s="7" t="s">
        <v>118</v>
      </c>
      <c r="G69" s="7" t="s">
        <v>116</v>
      </c>
      <c r="H69" s="7">
        <v>9</v>
      </c>
      <c r="I69" s="7">
        <v>9000</v>
      </c>
      <c r="J69" s="14">
        <v>81000</v>
      </c>
      <c r="K69" s="22" t="s">
        <v>413</v>
      </c>
      <c r="M69">
        <f t="shared" ref="M69:M132" si="2">J69*$L$1</f>
        <v>8100</v>
      </c>
    </row>
    <row r="70" spans="1:13" x14ac:dyDescent="0.35">
      <c r="A70" s="21" t="s">
        <v>150</v>
      </c>
      <c r="B70" s="25">
        <v>45329</v>
      </c>
      <c r="C70" s="7">
        <v>1011</v>
      </c>
      <c r="D70" s="7" t="s">
        <v>87</v>
      </c>
      <c r="E70" s="7" t="s">
        <v>82</v>
      </c>
      <c r="F70" s="7" t="s">
        <v>124</v>
      </c>
      <c r="G70" s="7" t="s">
        <v>116</v>
      </c>
      <c r="H70" s="7">
        <v>4</v>
      </c>
      <c r="I70" s="7">
        <v>18000</v>
      </c>
      <c r="J70" s="14">
        <v>72000</v>
      </c>
      <c r="K70" s="22" t="s">
        <v>416</v>
      </c>
      <c r="M70">
        <f t="shared" si="2"/>
        <v>7200</v>
      </c>
    </row>
    <row r="71" spans="1:13" x14ac:dyDescent="0.35">
      <c r="A71" s="21" t="s">
        <v>221</v>
      </c>
      <c r="B71" s="25">
        <v>45314</v>
      </c>
      <c r="C71" s="7">
        <v>1008</v>
      </c>
      <c r="D71" s="7" t="s">
        <v>83</v>
      </c>
      <c r="E71" s="7" t="s">
        <v>82</v>
      </c>
      <c r="F71" s="7" t="s">
        <v>118</v>
      </c>
      <c r="G71" s="7" t="s">
        <v>116</v>
      </c>
      <c r="H71" s="7">
        <v>8</v>
      </c>
      <c r="I71" s="7">
        <v>9000</v>
      </c>
      <c r="J71" s="14">
        <v>72000</v>
      </c>
      <c r="K71" s="22" t="s">
        <v>409</v>
      </c>
      <c r="M71">
        <f t="shared" si="2"/>
        <v>7200</v>
      </c>
    </row>
    <row r="72" spans="1:13" x14ac:dyDescent="0.35">
      <c r="A72" s="21" t="s">
        <v>292</v>
      </c>
      <c r="B72" s="25">
        <v>45306</v>
      </c>
      <c r="C72" s="7">
        <v>1019</v>
      </c>
      <c r="D72" s="7" t="s">
        <v>95</v>
      </c>
      <c r="E72" s="7" t="s">
        <v>74</v>
      </c>
      <c r="F72" s="7" t="s">
        <v>118</v>
      </c>
      <c r="G72" s="7" t="s">
        <v>116</v>
      </c>
      <c r="H72" s="7">
        <v>8</v>
      </c>
      <c r="I72" s="7">
        <v>9000</v>
      </c>
      <c r="J72" s="14">
        <v>72000</v>
      </c>
      <c r="K72" s="22" t="s">
        <v>401</v>
      </c>
      <c r="M72">
        <f t="shared" si="2"/>
        <v>7200</v>
      </c>
    </row>
    <row r="73" spans="1:13" x14ac:dyDescent="0.35">
      <c r="A73" s="21" t="s">
        <v>262</v>
      </c>
      <c r="B73" s="25">
        <v>45459</v>
      </c>
      <c r="C73" s="7">
        <v>1008</v>
      </c>
      <c r="D73" s="7" t="s">
        <v>83</v>
      </c>
      <c r="E73" s="7" t="s">
        <v>82</v>
      </c>
      <c r="F73" s="7" t="s">
        <v>115</v>
      </c>
      <c r="G73" s="7" t="s">
        <v>116</v>
      </c>
      <c r="H73" s="7">
        <v>11</v>
      </c>
      <c r="I73" s="7">
        <v>6500</v>
      </c>
      <c r="J73" s="14">
        <v>71500</v>
      </c>
      <c r="K73" s="22" t="s">
        <v>409</v>
      </c>
      <c r="M73">
        <f t="shared" si="2"/>
        <v>7150</v>
      </c>
    </row>
    <row r="74" spans="1:13" x14ac:dyDescent="0.35">
      <c r="A74" s="21" t="s">
        <v>136</v>
      </c>
      <c r="B74" s="25">
        <v>45459</v>
      </c>
      <c r="C74" s="7">
        <v>1003</v>
      </c>
      <c r="D74" s="7" t="s">
        <v>76</v>
      </c>
      <c r="E74" s="7" t="s">
        <v>71</v>
      </c>
      <c r="F74" s="7" t="s">
        <v>122</v>
      </c>
      <c r="G74" s="7" t="s">
        <v>116</v>
      </c>
      <c r="H74" s="7">
        <v>3</v>
      </c>
      <c r="I74" s="7">
        <v>22000</v>
      </c>
      <c r="J74" s="14">
        <v>66000</v>
      </c>
      <c r="K74" s="22" t="s">
        <v>413</v>
      </c>
      <c r="M74">
        <f t="shared" si="2"/>
        <v>6600</v>
      </c>
    </row>
    <row r="75" spans="1:13" x14ac:dyDescent="0.35">
      <c r="A75" s="21" t="s">
        <v>278</v>
      </c>
      <c r="B75" s="25">
        <v>45422</v>
      </c>
      <c r="C75" s="7">
        <v>1002</v>
      </c>
      <c r="D75" s="7" t="s">
        <v>73</v>
      </c>
      <c r="E75" s="7" t="s">
        <v>74</v>
      </c>
      <c r="F75" s="7" t="s">
        <v>122</v>
      </c>
      <c r="G75" s="7" t="s">
        <v>116</v>
      </c>
      <c r="H75" s="7">
        <v>3</v>
      </c>
      <c r="I75" s="7">
        <v>22000</v>
      </c>
      <c r="J75" s="14">
        <v>66000</v>
      </c>
      <c r="K75" s="22" t="s">
        <v>410</v>
      </c>
      <c r="M75">
        <f t="shared" si="2"/>
        <v>6600</v>
      </c>
    </row>
    <row r="76" spans="1:13" x14ac:dyDescent="0.35">
      <c r="A76" s="21" t="s">
        <v>127</v>
      </c>
      <c r="B76" s="25">
        <v>45337</v>
      </c>
      <c r="C76" s="7">
        <v>1004</v>
      </c>
      <c r="D76" s="7" t="s">
        <v>77</v>
      </c>
      <c r="E76" s="7" t="s">
        <v>71</v>
      </c>
      <c r="F76" s="7" t="s">
        <v>118</v>
      </c>
      <c r="G76" s="7" t="s">
        <v>116</v>
      </c>
      <c r="H76" s="7">
        <v>7</v>
      </c>
      <c r="I76" s="7">
        <v>9000</v>
      </c>
      <c r="J76" s="14">
        <v>63000</v>
      </c>
      <c r="K76" s="22" t="s">
        <v>412</v>
      </c>
      <c r="M76">
        <f t="shared" si="2"/>
        <v>6300</v>
      </c>
    </row>
    <row r="77" spans="1:13" x14ac:dyDescent="0.35">
      <c r="A77" s="21" t="s">
        <v>139</v>
      </c>
      <c r="B77" s="25">
        <v>45464</v>
      </c>
      <c r="C77" s="7">
        <v>1007</v>
      </c>
      <c r="D77" s="7" t="s">
        <v>81</v>
      </c>
      <c r="E77" s="7" t="s">
        <v>82</v>
      </c>
      <c r="F77" s="7" t="s">
        <v>118</v>
      </c>
      <c r="G77" s="7" t="s">
        <v>116</v>
      </c>
      <c r="H77" s="7">
        <v>7</v>
      </c>
      <c r="I77" s="7">
        <v>9000</v>
      </c>
      <c r="J77" s="14">
        <v>63000</v>
      </c>
      <c r="K77" s="22" t="s">
        <v>404</v>
      </c>
      <c r="M77">
        <f t="shared" si="2"/>
        <v>6300</v>
      </c>
    </row>
    <row r="78" spans="1:13" x14ac:dyDescent="0.35">
      <c r="A78" s="21" t="s">
        <v>203</v>
      </c>
      <c r="B78" s="25">
        <v>45439</v>
      </c>
      <c r="C78" s="7">
        <v>1020</v>
      </c>
      <c r="D78" s="7" t="s">
        <v>96</v>
      </c>
      <c r="E78" s="7" t="s">
        <v>80</v>
      </c>
      <c r="F78" s="7" t="s">
        <v>118</v>
      </c>
      <c r="G78" s="7" t="s">
        <v>116</v>
      </c>
      <c r="H78" s="7">
        <v>7</v>
      </c>
      <c r="I78" s="7">
        <v>9000</v>
      </c>
      <c r="J78" s="14">
        <v>63000</v>
      </c>
      <c r="K78" s="22" t="s">
        <v>400</v>
      </c>
      <c r="M78">
        <f t="shared" si="2"/>
        <v>6300</v>
      </c>
    </row>
    <row r="79" spans="1:13" x14ac:dyDescent="0.35">
      <c r="A79" s="21" t="s">
        <v>265</v>
      </c>
      <c r="B79" s="25">
        <v>45424</v>
      </c>
      <c r="C79" s="7">
        <v>1012</v>
      </c>
      <c r="D79" s="7" t="s">
        <v>88</v>
      </c>
      <c r="E79" s="7" t="s">
        <v>71</v>
      </c>
      <c r="F79" s="7" t="s">
        <v>115</v>
      </c>
      <c r="G79" s="7" t="s">
        <v>116</v>
      </c>
      <c r="H79" s="7">
        <v>9</v>
      </c>
      <c r="I79" s="7">
        <v>6500</v>
      </c>
      <c r="J79" s="14">
        <v>58500</v>
      </c>
      <c r="K79" s="22" t="s">
        <v>415</v>
      </c>
      <c r="M79">
        <f t="shared" si="2"/>
        <v>5850</v>
      </c>
    </row>
    <row r="80" spans="1:13" x14ac:dyDescent="0.35">
      <c r="A80" s="21" t="s">
        <v>192</v>
      </c>
      <c r="B80" s="25">
        <v>45460</v>
      </c>
      <c r="C80" s="7">
        <v>1003</v>
      </c>
      <c r="D80" s="7" t="s">
        <v>76</v>
      </c>
      <c r="E80" s="7" t="s">
        <v>71</v>
      </c>
      <c r="F80" s="7" t="s">
        <v>118</v>
      </c>
      <c r="G80" s="7" t="s">
        <v>116</v>
      </c>
      <c r="H80" s="7">
        <v>6</v>
      </c>
      <c r="I80" s="7">
        <v>9000</v>
      </c>
      <c r="J80" s="14">
        <v>54000</v>
      </c>
      <c r="K80" s="22" t="s">
        <v>413</v>
      </c>
      <c r="M80">
        <f t="shared" si="2"/>
        <v>5400</v>
      </c>
    </row>
    <row r="81" spans="1:13" x14ac:dyDescent="0.35">
      <c r="A81" s="21" t="s">
        <v>223</v>
      </c>
      <c r="B81" s="25">
        <v>45330</v>
      </c>
      <c r="C81" s="7">
        <v>1018</v>
      </c>
      <c r="D81" s="7" t="s">
        <v>94</v>
      </c>
      <c r="E81" s="7" t="s">
        <v>74</v>
      </c>
      <c r="F81" s="7" t="s">
        <v>124</v>
      </c>
      <c r="G81" s="7" t="s">
        <v>116</v>
      </c>
      <c r="H81" s="7">
        <v>3</v>
      </c>
      <c r="I81" s="7">
        <v>18000</v>
      </c>
      <c r="J81" s="14">
        <v>54000</v>
      </c>
      <c r="K81" s="22" t="s">
        <v>417</v>
      </c>
      <c r="M81">
        <f t="shared" si="2"/>
        <v>5400</v>
      </c>
    </row>
    <row r="82" spans="1:13" x14ac:dyDescent="0.35">
      <c r="A82" s="21" t="s">
        <v>255</v>
      </c>
      <c r="B82" s="25">
        <v>45349</v>
      </c>
      <c r="C82" s="7">
        <v>1019</v>
      </c>
      <c r="D82" s="7" t="s">
        <v>95</v>
      </c>
      <c r="E82" s="7" t="s">
        <v>74</v>
      </c>
      <c r="F82" s="7" t="s">
        <v>118</v>
      </c>
      <c r="G82" s="7" t="s">
        <v>116</v>
      </c>
      <c r="H82" s="7">
        <v>6</v>
      </c>
      <c r="I82" s="7">
        <v>9000</v>
      </c>
      <c r="J82" s="14">
        <v>54000</v>
      </c>
      <c r="K82" s="22" t="s">
        <v>401</v>
      </c>
      <c r="M82">
        <f t="shared" si="2"/>
        <v>5400</v>
      </c>
    </row>
    <row r="83" spans="1:13" x14ac:dyDescent="0.35">
      <c r="A83" s="21" t="s">
        <v>155</v>
      </c>
      <c r="B83" s="25">
        <v>45350</v>
      </c>
      <c r="C83" s="7">
        <v>1014</v>
      </c>
      <c r="D83" s="7" t="s">
        <v>90</v>
      </c>
      <c r="E83" s="7" t="s">
        <v>74</v>
      </c>
      <c r="F83" s="7" t="s">
        <v>115</v>
      </c>
      <c r="G83" s="7" t="s">
        <v>116</v>
      </c>
      <c r="H83" s="7">
        <v>8</v>
      </c>
      <c r="I83" s="7">
        <v>6500</v>
      </c>
      <c r="J83" s="14">
        <v>52000</v>
      </c>
      <c r="K83" s="22" t="s">
        <v>414</v>
      </c>
      <c r="M83">
        <f t="shared" si="2"/>
        <v>5200</v>
      </c>
    </row>
    <row r="84" spans="1:13" x14ac:dyDescent="0.35">
      <c r="A84" s="21" t="s">
        <v>219</v>
      </c>
      <c r="B84" s="25">
        <v>45376</v>
      </c>
      <c r="C84" s="7">
        <v>1006</v>
      </c>
      <c r="D84" s="7" t="s">
        <v>79</v>
      </c>
      <c r="E84" s="7" t="s">
        <v>80</v>
      </c>
      <c r="F84" s="7" t="s">
        <v>115</v>
      </c>
      <c r="G84" s="7" t="s">
        <v>116</v>
      </c>
      <c r="H84" s="7">
        <v>8</v>
      </c>
      <c r="I84" s="7">
        <v>6500</v>
      </c>
      <c r="J84" s="14">
        <v>52000</v>
      </c>
      <c r="K84" s="22" t="s">
        <v>403</v>
      </c>
      <c r="M84">
        <f t="shared" si="2"/>
        <v>5200</v>
      </c>
    </row>
    <row r="85" spans="1:13" x14ac:dyDescent="0.35">
      <c r="A85" s="21" t="s">
        <v>254</v>
      </c>
      <c r="B85" s="25">
        <v>45409</v>
      </c>
      <c r="C85" s="7">
        <v>1009</v>
      </c>
      <c r="D85" s="7" t="s">
        <v>85</v>
      </c>
      <c r="E85" s="7" t="s">
        <v>82</v>
      </c>
      <c r="F85" s="7" t="s">
        <v>115</v>
      </c>
      <c r="G85" s="7" t="s">
        <v>116</v>
      </c>
      <c r="H85" s="7">
        <v>8</v>
      </c>
      <c r="I85" s="7">
        <v>6500</v>
      </c>
      <c r="J85" s="14">
        <v>52000</v>
      </c>
      <c r="K85" s="22" t="s">
        <v>402</v>
      </c>
      <c r="M85">
        <f t="shared" si="2"/>
        <v>5200</v>
      </c>
    </row>
    <row r="86" spans="1:13" x14ac:dyDescent="0.35">
      <c r="A86" s="21" t="s">
        <v>275</v>
      </c>
      <c r="B86" s="25">
        <v>45393</v>
      </c>
      <c r="C86" s="7">
        <v>1010</v>
      </c>
      <c r="D86" s="7" t="s">
        <v>86</v>
      </c>
      <c r="E86" s="7" t="s">
        <v>71</v>
      </c>
      <c r="F86" s="7" t="s">
        <v>115</v>
      </c>
      <c r="G86" s="7" t="s">
        <v>116</v>
      </c>
      <c r="H86" s="7">
        <v>8</v>
      </c>
      <c r="I86" s="7">
        <v>6500</v>
      </c>
      <c r="J86" s="14">
        <v>52000</v>
      </c>
      <c r="K86" s="22" t="s">
        <v>405</v>
      </c>
      <c r="M86">
        <f t="shared" si="2"/>
        <v>5200</v>
      </c>
    </row>
    <row r="87" spans="1:13" x14ac:dyDescent="0.35">
      <c r="A87" s="21" t="s">
        <v>211</v>
      </c>
      <c r="B87" s="25">
        <v>45462</v>
      </c>
      <c r="C87" s="7">
        <v>1003</v>
      </c>
      <c r="D87" s="7" t="s">
        <v>76</v>
      </c>
      <c r="E87" s="7" t="s">
        <v>71</v>
      </c>
      <c r="F87" s="7" t="s">
        <v>115</v>
      </c>
      <c r="G87" s="7" t="s">
        <v>116</v>
      </c>
      <c r="H87" s="7">
        <v>7</v>
      </c>
      <c r="I87" s="7">
        <v>6500</v>
      </c>
      <c r="J87" s="14">
        <v>45500</v>
      </c>
      <c r="K87" s="22" t="s">
        <v>413</v>
      </c>
      <c r="M87">
        <f t="shared" si="2"/>
        <v>4550</v>
      </c>
    </row>
    <row r="88" spans="1:13" x14ac:dyDescent="0.35">
      <c r="A88" s="21" t="s">
        <v>204</v>
      </c>
      <c r="B88" s="25">
        <v>45336</v>
      </c>
      <c r="C88" s="7">
        <v>1001</v>
      </c>
      <c r="D88" s="7" t="s">
        <v>70</v>
      </c>
      <c r="E88" s="7" t="s">
        <v>71</v>
      </c>
      <c r="F88" s="7" t="s">
        <v>118</v>
      </c>
      <c r="G88" s="7" t="s">
        <v>116</v>
      </c>
      <c r="H88" s="7">
        <v>5</v>
      </c>
      <c r="I88" s="7">
        <v>9000</v>
      </c>
      <c r="J88" s="14">
        <v>45000</v>
      </c>
      <c r="K88" s="22" t="s">
        <v>411</v>
      </c>
      <c r="M88">
        <f t="shared" si="2"/>
        <v>4500</v>
      </c>
    </row>
    <row r="89" spans="1:13" x14ac:dyDescent="0.35">
      <c r="A89" s="21" t="s">
        <v>267</v>
      </c>
      <c r="B89" s="25">
        <v>45326</v>
      </c>
      <c r="C89" s="7">
        <v>1009</v>
      </c>
      <c r="D89" s="7" t="s">
        <v>85</v>
      </c>
      <c r="E89" s="7" t="s">
        <v>82</v>
      </c>
      <c r="F89" s="7" t="s">
        <v>118</v>
      </c>
      <c r="G89" s="7" t="s">
        <v>116</v>
      </c>
      <c r="H89" s="7">
        <v>5</v>
      </c>
      <c r="I89" s="7">
        <v>9000</v>
      </c>
      <c r="J89" s="14">
        <v>45000</v>
      </c>
      <c r="K89" s="22" t="s">
        <v>402</v>
      </c>
      <c r="M89">
        <f t="shared" si="2"/>
        <v>4500</v>
      </c>
    </row>
    <row r="90" spans="1:13" x14ac:dyDescent="0.35">
      <c r="A90" s="21" t="s">
        <v>167</v>
      </c>
      <c r="B90" s="25">
        <v>45292</v>
      </c>
      <c r="C90" s="7">
        <v>1010</v>
      </c>
      <c r="D90" s="7" t="s">
        <v>86</v>
      </c>
      <c r="E90" s="7" t="s">
        <v>71</v>
      </c>
      <c r="F90" s="7" t="s">
        <v>115</v>
      </c>
      <c r="G90" s="7" t="s">
        <v>116</v>
      </c>
      <c r="H90" s="7">
        <v>6</v>
      </c>
      <c r="I90" s="7">
        <v>6500</v>
      </c>
      <c r="J90" s="14">
        <v>39000</v>
      </c>
      <c r="K90" s="22" t="s">
        <v>405</v>
      </c>
      <c r="M90">
        <f t="shared" si="2"/>
        <v>3900</v>
      </c>
    </row>
    <row r="91" spans="1:13" x14ac:dyDescent="0.35">
      <c r="A91" s="21" t="s">
        <v>168</v>
      </c>
      <c r="B91" s="25">
        <v>45419</v>
      </c>
      <c r="C91" s="7">
        <v>1015</v>
      </c>
      <c r="D91" s="7" t="s">
        <v>91</v>
      </c>
      <c r="E91" s="7" t="s">
        <v>74</v>
      </c>
      <c r="F91" s="7" t="s">
        <v>124</v>
      </c>
      <c r="G91" s="7" t="s">
        <v>116</v>
      </c>
      <c r="H91" s="7">
        <v>2</v>
      </c>
      <c r="I91" s="7">
        <v>18000</v>
      </c>
      <c r="J91" s="14">
        <v>36000</v>
      </c>
      <c r="K91" s="22" t="s">
        <v>406</v>
      </c>
      <c r="M91">
        <f t="shared" si="2"/>
        <v>3600</v>
      </c>
    </row>
    <row r="92" spans="1:13" x14ac:dyDescent="0.35">
      <c r="A92" s="21" t="s">
        <v>109</v>
      </c>
      <c r="B92" s="25">
        <v>45317</v>
      </c>
      <c r="C92" s="7">
        <v>1002</v>
      </c>
      <c r="D92" s="7" t="s">
        <v>73</v>
      </c>
      <c r="E92" s="7" t="s">
        <v>74</v>
      </c>
      <c r="F92" s="7" t="s">
        <v>107</v>
      </c>
      <c r="G92" s="7" t="s">
        <v>108</v>
      </c>
      <c r="H92" s="7">
        <v>14</v>
      </c>
      <c r="I92" s="7">
        <v>2500</v>
      </c>
      <c r="J92" s="14">
        <v>35000</v>
      </c>
      <c r="K92" s="22" t="s">
        <v>410</v>
      </c>
      <c r="M92">
        <f t="shared" si="2"/>
        <v>3500</v>
      </c>
    </row>
    <row r="93" spans="1:13" x14ac:dyDescent="0.35">
      <c r="A93" s="21" t="s">
        <v>176</v>
      </c>
      <c r="B93" s="25">
        <v>45294</v>
      </c>
      <c r="C93" s="7">
        <v>1009</v>
      </c>
      <c r="D93" s="7" t="s">
        <v>85</v>
      </c>
      <c r="E93" s="7" t="s">
        <v>82</v>
      </c>
      <c r="F93" s="7" t="s">
        <v>115</v>
      </c>
      <c r="G93" s="7" t="s">
        <v>116</v>
      </c>
      <c r="H93" s="7">
        <v>5</v>
      </c>
      <c r="I93" s="7">
        <v>6500</v>
      </c>
      <c r="J93" s="14">
        <v>32500</v>
      </c>
      <c r="K93" s="22" t="s">
        <v>402</v>
      </c>
      <c r="M93">
        <f t="shared" si="2"/>
        <v>3250</v>
      </c>
    </row>
    <row r="94" spans="1:13" x14ac:dyDescent="0.35">
      <c r="A94" s="21" t="s">
        <v>209</v>
      </c>
      <c r="B94" s="25">
        <v>45327</v>
      </c>
      <c r="C94" s="7">
        <v>1010</v>
      </c>
      <c r="D94" s="7" t="s">
        <v>86</v>
      </c>
      <c r="E94" s="7" t="s">
        <v>71</v>
      </c>
      <c r="F94" s="7" t="s">
        <v>107</v>
      </c>
      <c r="G94" s="7" t="s">
        <v>108</v>
      </c>
      <c r="H94" s="7">
        <v>13</v>
      </c>
      <c r="I94" s="7">
        <v>2500</v>
      </c>
      <c r="J94" s="14">
        <v>32500</v>
      </c>
      <c r="K94" s="22" t="s">
        <v>405</v>
      </c>
      <c r="M94">
        <f t="shared" si="2"/>
        <v>3250</v>
      </c>
    </row>
    <row r="95" spans="1:13" x14ac:dyDescent="0.35">
      <c r="A95" s="21" t="s">
        <v>280</v>
      </c>
      <c r="B95" s="25">
        <v>45425</v>
      </c>
      <c r="C95" s="7">
        <v>1014</v>
      </c>
      <c r="D95" s="7" t="s">
        <v>90</v>
      </c>
      <c r="E95" s="7" t="s">
        <v>74</v>
      </c>
      <c r="F95" s="7" t="s">
        <v>107</v>
      </c>
      <c r="G95" s="7" t="s">
        <v>108</v>
      </c>
      <c r="H95" s="7">
        <v>13</v>
      </c>
      <c r="I95" s="7">
        <v>2500</v>
      </c>
      <c r="J95" s="14">
        <v>32500</v>
      </c>
      <c r="K95" s="22" t="s">
        <v>414</v>
      </c>
      <c r="M95">
        <f t="shared" si="2"/>
        <v>3250</v>
      </c>
    </row>
    <row r="96" spans="1:13" x14ac:dyDescent="0.35">
      <c r="A96" s="21" t="s">
        <v>281</v>
      </c>
      <c r="B96" s="25">
        <v>45426</v>
      </c>
      <c r="C96" s="7">
        <v>1015</v>
      </c>
      <c r="D96" s="7" t="s">
        <v>91</v>
      </c>
      <c r="E96" s="7" t="s">
        <v>74</v>
      </c>
      <c r="F96" s="7" t="s">
        <v>115</v>
      </c>
      <c r="G96" s="7" t="s">
        <v>116</v>
      </c>
      <c r="H96" s="7">
        <v>5</v>
      </c>
      <c r="I96" s="7">
        <v>6500</v>
      </c>
      <c r="J96" s="14">
        <v>32500</v>
      </c>
      <c r="K96" s="22" t="s">
        <v>406</v>
      </c>
      <c r="M96">
        <f t="shared" si="2"/>
        <v>3250</v>
      </c>
    </row>
    <row r="97" spans="1:13" x14ac:dyDescent="0.35">
      <c r="A97" s="21" t="s">
        <v>286</v>
      </c>
      <c r="B97" s="25">
        <v>45299</v>
      </c>
      <c r="C97" s="7">
        <v>1020</v>
      </c>
      <c r="D97" s="7" t="s">
        <v>96</v>
      </c>
      <c r="E97" s="7" t="s">
        <v>80</v>
      </c>
      <c r="F97" s="7" t="s">
        <v>115</v>
      </c>
      <c r="G97" s="7" t="s">
        <v>116</v>
      </c>
      <c r="H97" s="7">
        <v>5</v>
      </c>
      <c r="I97" s="7">
        <v>6500</v>
      </c>
      <c r="J97" s="14">
        <v>32500</v>
      </c>
      <c r="K97" s="22" t="s">
        <v>400</v>
      </c>
      <c r="M97">
        <f t="shared" si="2"/>
        <v>3250</v>
      </c>
    </row>
    <row r="98" spans="1:13" x14ac:dyDescent="0.35">
      <c r="A98" s="21" t="s">
        <v>106</v>
      </c>
      <c r="B98" s="25">
        <v>45378</v>
      </c>
      <c r="C98" s="7">
        <v>1018</v>
      </c>
      <c r="D98" s="7" t="s">
        <v>94</v>
      </c>
      <c r="E98" s="7" t="s">
        <v>74</v>
      </c>
      <c r="F98" s="7" t="s">
        <v>107</v>
      </c>
      <c r="G98" s="7" t="s">
        <v>108</v>
      </c>
      <c r="H98" s="7">
        <v>11</v>
      </c>
      <c r="I98" s="7">
        <v>2500</v>
      </c>
      <c r="J98" s="14">
        <v>27500</v>
      </c>
      <c r="K98" s="22" t="s">
        <v>417</v>
      </c>
      <c r="M98">
        <f t="shared" si="2"/>
        <v>2750</v>
      </c>
    </row>
    <row r="99" spans="1:13" x14ac:dyDescent="0.35">
      <c r="A99" s="21" t="s">
        <v>183</v>
      </c>
      <c r="B99" s="25">
        <v>45303</v>
      </c>
      <c r="C99" s="7">
        <v>1007</v>
      </c>
      <c r="D99" s="7" t="s">
        <v>81</v>
      </c>
      <c r="E99" s="7" t="s">
        <v>82</v>
      </c>
      <c r="F99" s="7" t="s">
        <v>107</v>
      </c>
      <c r="G99" s="7" t="s">
        <v>108</v>
      </c>
      <c r="H99" s="7">
        <v>11</v>
      </c>
      <c r="I99" s="7">
        <v>2500</v>
      </c>
      <c r="J99" s="14">
        <v>27500</v>
      </c>
      <c r="K99" s="22" t="s">
        <v>404</v>
      </c>
      <c r="M99">
        <f t="shared" si="2"/>
        <v>2750</v>
      </c>
    </row>
    <row r="100" spans="1:13" x14ac:dyDescent="0.35">
      <c r="A100" s="21" t="s">
        <v>169</v>
      </c>
      <c r="B100" s="25">
        <v>45354</v>
      </c>
      <c r="C100" s="7">
        <v>1017</v>
      </c>
      <c r="D100" s="7" t="s">
        <v>93</v>
      </c>
      <c r="E100" s="7" t="s">
        <v>82</v>
      </c>
      <c r="F100" s="7" t="s">
        <v>118</v>
      </c>
      <c r="G100" s="7" t="s">
        <v>116</v>
      </c>
      <c r="H100" s="7">
        <v>3</v>
      </c>
      <c r="I100" s="7">
        <v>9000</v>
      </c>
      <c r="J100" s="14">
        <v>27000</v>
      </c>
      <c r="K100" s="22" t="s">
        <v>418</v>
      </c>
      <c r="M100">
        <f t="shared" si="2"/>
        <v>2700</v>
      </c>
    </row>
    <row r="101" spans="1:13" x14ac:dyDescent="0.35">
      <c r="A101" s="21" t="s">
        <v>178</v>
      </c>
      <c r="B101" s="25">
        <v>45458</v>
      </c>
      <c r="C101" s="7">
        <v>1005</v>
      </c>
      <c r="D101" s="7" t="s">
        <v>78</v>
      </c>
      <c r="E101" s="7" t="s">
        <v>71</v>
      </c>
      <c r="F101" s="7" t="s">
        <v>118</v>
      </c>
      <c r="G101" s="7" t="s">
        <v>116</v>
      </c>
      <c r="H101" s="7">
        <v>3</v>
      </c>
      <c r="I101" s="7">
        <v>9000</v>
      </c>
      <c r="J101" s="14">
        <v>27000</v>
      </c>
      <c r="K101" s="22" t="s">
        <v>399</v>
      </c>
      <c r="M101">
        <f t="shared" si="2"/>
        <v>2700</v>
      </c>
    </row>
    <row r="102" spans="1:13" x14ac:dyDescent="0.35">
      <c r="A102" s="21" t="s">
        <v>146</v>
      </c>
      <c r="B102" s="25">
        <v>45408</v>
      </c>
      <c r="C102" s="7">
        <v>1019</v>
      </c>
      <c r="D102" s="7" t="s">
        <v>95</v>
      </c>
      <c r="E102" s="7" t="s">
        <v>74</v>
      </c>
      <c r="F102" s="7" t="s">
        <v>115</v>
      </c>
      <c r="G102" s="7" t="s">
        <v>116</v>
      </c>
      <c r="H102" s="7">
        <v>4</v>
      </c>
      <c r="I102" s="7">
        <v>6500</v>
      </c>
      <c r="J102" s="14">
        <v>26000</v>
      </c>
      <c r="K102" s="22" t="s">
        <v>401</v>
      </c>
      <c r="M102">
        <f t="shared" si="2"/>
        <v>2600</v>
      </c>
    </row>
    <row r="103" spans="1:13" x14ac:dyDescent="0.35">
      <c r="A103" s="21" t="s">
        <v>152</v>
      </c>
      <c r="B103" s="25">
        <v>45306</v>
      </c>
      <c r="C103" s="7">
        <v>1009</v>
      </c>
      <c r="D103" s="7" t="s">
        <v>85</v>
      </c>
      <c r="E103" s="7" t="s">
        <v>82</v>
      </c>
      <c r="F103" s="7" t="s">
        <v>115</v>
      </c>
      <c r="G103" s="7" t="s">
        <v>116</v>
      </c>
      <c r="H103" s="7">
        <v>4</v>
      </c>
      <c r="I103" s="7">
        <v>6500</v>
      </c>
      <c r="J103" s="14">
        <v>26000</v>
      </c>
      <c r="K103" s="22" t="s">
        <v>402</v>
      </c>
      <c r="M103">
        <f t="shared" si="2"/>
        <v>2600</v>
      </c>
    </row>
    <row r="104" spans="1:13" x14ac:dyDescent="0.35">
      <c r="A104" s="21" t="s">
        <v>142</v>
      </c>
      <c r="B104" s="25">
        <v>45323</v>
      </c>
      <c r="C104" s="7">
        <v>1001</v>
      </c>
      <c r="D104" s="7" t="s">
        <v>70</v>
      </c>
      <c r="E104" s="7" t="s">
        <v>71</v>
      </c>
      <c r="F104" s="7" t="s">
        <v>107</v>
      </c>
      <c r="G104" s="7" t="s">
        <v>108</v>
      </c>
      <c r="H104" s="7">
        <v>10</v>
      </c>
      <c r="I104" s="7">
        <v>2500</v>
      </c>
      <c r="J104" s="14">
        <v>25000</v>
      </c>
      <c r="K104" s="22" t="s">
        <v>411</v>
      </c>
      <c r="M104">
        <f t="shared" si="2"/>
        <v>2500</v>
      </c>
    </row>
    <row r="105" spans="1:13" x14ac:dyDescent="0.35">
      <c r="A105" s="21" t="s">
        <v>145</v>
      </c>
      <c r="B105" s="25">
        <v>45346</v>
      </c>
      <c r="C105" s="7">
        <v>1016</v>
      </c>
      <c r="D105" s="7" t="s">
        <v>92</v>
      </c>
      <c r="E105" s="7" t="s">
        <v>71</v>
      </c>
      <c r="F105" s="7" t="s">
        <v>107</v>
      </c>
      <c r="G105" s="7" t="s">
        <v>108</v>
      </c>
      <c r="H105" s="7">
        <v>9</v>
      </c>
      <c r="I105" s="7">
        <v>2500</v>
      </c>
      <c r="J105" s="14">
        <v>22500</v>
      </c>
      <c r="K105" s="22" t="s">
        <v>407</v>
      </c>
      <c r="M105">
        <f t="shared" si="2"/>
        <v>2250</v>
      </c>
    </row>
    <row r="106" spans="1:13" x14ac:dyDescent="0.35">
      <c r="A106" s="21" t="s">
        <v>161</v>
      </c>
      <c r="B106" s="25">
        <v>45415</v>
      </c>
      <c r="C106" s="7">
        <v>1016</v>
      </c>
      <c r="D106" s="7" t="s">
        <v>92</v>
      </c>
      <c r="E106" s="7" t="s">
        <v>71</v>
      </c>
      <c r="F106" s="7" t="s">
        <v>122</v>
      </c>
      <c r="G106" s="7" t="s">
        <v>116</v>
      </c>
      <c r="H106" s="7">
        <v>1</v>
      </c>
      <c r="I106" s="7">
        <v>22000</v>
      </c>
      <c r="J106" s="14">
        <v>22000</v>
      </c>
      <c r="K106" s="22" t="s">
        <v>407</v>
      </c>
      <c r="M106">
        <f t="shared" si="2"/>
        <v>2200</v>
      </c>
    </row>
    <row r="107" spans="1:13" x14ac:dyDescent="0.35">
      <c r="A107" s="21" t="s">
        <v>230</v>
      </c>
      <c r="B107" s="25">
        <v>45331</v>
      </c>
      <c r="C107" s="7">
        <v>1018</v>
      </c>
      <c r="D107" s="7" t="s">
        <v>94</v>
      </c>
      <c r="E107" s="7" t="s">
        <v>74</v>
      </c>
      <c r="F107" s="7" t="s">
        <v>107</v>
      </c>
      <c r="G107" s="7" t="s">
        <v>108</v>
      </c>
      <c r="H107" s="7">
        <v>8</v>
      </c>
      <c r="I107" s="7">
        <v>2500</v>
      </c>
      <c r="J107" s="14">
        <v>20000</v>
      </c>
      <c r="K107" s="22" t="s">
        <v>417</v>
      </c>
      <c r="M107">
        <f t="shared" si="2"/>
        <v>2000</v>
      </c>
    </row>
    <row r="108" spans="1:13" x14ac:dyDescent="0.35">
      <c r="A108" s="21" t="s">
        <v>242</v>
      </c>
      <c r="B108" s="25">
        <v>45452</v>
      </c>
      <c r="C108" s="7">
        <v>1004</v>
      </c>
      <c r="D108" s="7" t="s">
        <v>77</v>
      </c>
      <c r="E108" s="7" t="s">
        <v>71</v>
      </c>
      <c r="F108" s="7" t="s">
        <v>107</v>
      </c>
      <c r="G108" s="7" t="s">
        <v>108</v>
      </c>
      <c r="H108" s="7">
        <v>8</v>
      </c>
      <c r="I108" s="7">
        <v>2500</v>
      </c>
      <c r="J108" s="14">
        <v>20000</v>
      </c>
      <c r="K108" s="22" t="s">
        <v>412</v>
      </c>
      <c r="M108">
        <f t="shared" si="2"/>
        <v>2000</v>
      </c>
    </row>
    <row r="109" spans="1:13" x14ac:dyDescent="0.35">
      <c r="A109" s="21" t="s">
        <v>114</v>
      </c>
      <c r="B109" s="25">
        <v>45356</v>
      </c>
      <c r="C109" s="7">
        <v>1013</v>
      </c>
      <c r="D109" s="7" t="s">
        <v>89</v>
      </c>
      <c r="E109" s="7" t="s">
        <v>82</v>
      </c>
      <c r="F109" s="7" t="s">
        <v>115</v>
      </c>
      <c r="G109" s="7" t="s">
        <v>116</v>
      </c>
      <c r="H109" s="7">
        <v>3</v>
      </c>
      <c r="I109" s="7">
        <v>6500</v>
      </c>
      <c r="J109" s="14">
        <v>19500</v>
      </c>
      <c r="K109" s="22" t="s">
        <v>408</v>
      </c>
      <c r="M109">
        <f t="shared" si="2"/>
        <v>1950</v>
      </c>
    </row>
    <row r="110" spans="1:13" x14ac:dyDescent="0.35">
      <c r="A110" s="21" t="s">
        <v>151</v>
      </c>
      <c r="B110" s="25">
        <v>45388</v>
      </c>
      <c r="C110" s="7">
        <v>1018</v>
      </c>
      <c r="D110" s="7" t="s">
        <v>94</v>
      </c>
      <c r="E110" s="7" t="s">
        <v>74</v>
      </c>
      <c r="F110" s="7" t="s">
        <v>115</v>
      </c>
      <c r="G110" s="7" t="s">
        <v>116</v>
      </c>
      <c r="H110" s="7">
        <v>3</v>
      </c>
      <c r="I110" s="7">
        <v>6500</v>
      </c>
      <c r="J110" s="14">
        <v>19500</v>
      </c>
      <c r="K110" s="22" t="s">
        <v>417</v>
      </c>
      <c r="M110">
        <f t="shared" si="2"/>
        <v>1950</v>
      </c>
    </row>
    <row r="111" spans="1:13" x14ac:dyDescent="0.35">
      <c r="A111" s="21" t="s">
        <v>158</v>
      </c>
      <c r="B111" s="25">
        <v>45332</v>
      </c>
      <c r="C111" s="7">
        <v>1014</v>
      </c>
      <c r="D111" s="7" t="s">
        <v>90</v>
      </c>
      <c r="E111" s="7" t="s">
        <v>74</v>
      </c>
      <c r="F111" s="7" t="s">
        <v>115</v>
      </c>
      <c r="G111" s="7" t="s">
        <v>116</v>
      </c>
      <c r="H111" s="7">
        <v>3</v>
      </c>
      <c r="I111" s="7">
        <v>6500</v>
      </c>
      <c r="J111" s="14">
        <v>19500</v>
      </c>
      <c r="K111" s="22" t="s">
        <v>414</v>
      </c>
      <c r="M111">
        <f t="shared" si="2"/>
        <v>1950</v>
      </c>
    </row>
    <row r="112" spans="1:13" x14ac:dyDescent="0.35">
      <c r="A112" s="21" t="s">
        <v>216</v>
      </c>
      <c r="B112" s="25">
        <v>45404</v>
      </c>
      <c r="C112" s="7">
        <v>1004</v>
      </c>
      <c r="D112" s="7" t="s">
        <v>77</v>
      </c>
      <c r="E112" s="7" t="s">
        <v>71</v>
      </c>
      <c r="F112" s="7" t="s">
        <v>115</v>
      </c>
      <c r="G112" s="7" t="s">
        <v>116</v>
      </c>
      <c r="H112" s="7">
        <v>3</v>
      </c>
      <c r="I112" s="7">
        <v>6500</v>
      </c>
      <c r="J112" s="14">
        <v>19500</v>
      </c>
      <c r="K112" s="22" t="s">
        <v>412</v>
      </c>
      <c r="M112">
        <f t="shared" si="2"/>
        <v>1950</v>
      </c>
    </row>
    <row r="113" spans="1:13" x14ac:dyDescent="0.35">
      <c r="A113" s="21" t="s">
        <v>235</v>
      </c>
      <c r="B113" s="25">
        <v>45300</v>
      </c>
      <c r="C113" s="7">
        <v>1005</v>
      </c>
      <c r="D113" s="7" t="s">
        <v>78</v>
      </c>
      <c r="E113" s="7" t="s">
        <v>71</v>
      </c>
      <c r="F113" s="7" t="s">
        <v>115</v>
      </c>
      <c r="G113" s="7" t="s">
        <v>116</v>
      </c>
      <c r="H113" s="7">
        <v>3</v>
      </c>
      <c r="I113" s="7">
        <v>6500</v>
      </c>
      <c r="J113" s="14">
        <v>19500</v>
      </c>
      <c r="K113" s="22" t="s">
        <v>399</v>
      </c>
      <c r="M113">
        <f t="shared" si="2"/>
        <v>1950</v>
      </c>
    </row>
    <row r="114" spans="1:13" x14ac:dyDescent="0.35">
      <c r="A114" s="21" t="s">
        <v>149</v>
      </c>
      <c r="B114" s="25">
        <v>45406</v>
      </c>
      <c r="C114" s="7">
        <v>1002</v>
      </c>
      <c r="D114" s="7" t="s">
        <v>73</v>
      </c>
      <c r="E114" s="7" t="s">
        <v>74</v>
      </c>
      <c r="F114" s="7" t="s">
        <v>124</v>
      </c>
      <c r="G114" s="7" t="s">
        <v>116</v>
      </c>
      <c r="H114" s="7">
        <v>1</v>
      </c>
      <c r="I114" s="7">
        <v>18000</v>
      </c>
      <c r="J114" s="14">
        <v>18000</v>
      </c>
      <c r="K114" s="22" t="s">
        <v>410</v>
      </c>
      <c r="M114">
        <f t="shared" si="2"/>
        <v>1800</v>
      </c>
    </row>
    <row r="115" spans="1:13" x14ac:dyDescent="0.35">
      <c r="A115" s="21" t="s">
        <v>153</v>
      </c>
      <c r="B115" s="25">
        <v>45461</v>
      </c>
      <c r="C115" s="7">
        <v>1018</v>
      </c>
      <c r="D115" s="7" t="s">
        <v>94</v>
      </c>
      <c r="E115" s="7" t="s">
        <v>74</v>
      </c>
      <c r="F115" s="7" t="s">
        <v>124</v>
      </c>
      <c r="G115" s="7" t="s">
        <v>116</v>
      </c>
      <c r="H115" s="7">
        <v>1</v>
      </c>
      <c r="I115" s="7">
        <v>18000</v>
      </c>
      <c r="J115" s="14">
        <v>18000</v>
      </c>
      <c r="K115" s="22" t="s">
        <v>417</v>
      </c>
      <c r="M115">
        <f t="shared" si="2"/>
        <v>1800</v>
      </c>
    </row>
    <row r="116" spans="1:13" x14ac:dyDescent="0.35">
      <c r="A116" s="21" t="s">
        <v>173</v>
      </c>
      <c r="B116" s="25">
        <v>45315</v>
      </c>
      <c r="C116" s="7">
        <v>1005</v>
      </c>
      <c r="D116" s="7" t="s">
        <v>78</v>
      </c>
      <c r="E116" s="7" t="s">
        <v>71</v>
      </c>
      <c r="F116" s="7" t="s">
        <v>118</v>
      </c>
      <c r="G116" s="7" t="s">
        <v>116</v>
      </c>
      <c r="H116" s="7">
        <v>2</v>
      </c>
      <c r="I116" s="7">
        <v>9000</v>
      </c>
      <c r="J116" s="14">
        <v>18000</v>
      </c>
      <c r="K116" s="22" t="s">
        <v>399</v>
      </c>
      <c r="M116">
        <f t="shared" si="2"/>
        <v>1800</v>
      </c>
    </row>
    <row r="117" spans="1:13" x14ac:dyDescent="0.35">
      <c r="A117" s="21" t="s">
        <v>270</v>
      </c>
      <c r="B117" s="25">
        <v>45332</v>
      </c>
      <c r="C117" s="7">
        <v>1009</v>
      </c>
      <c r="D117" s="7" t="s">
        <v>85</v>
      </c>
      <c r="E117" s="7" t="s">
        <v>82</v>
      </c>
      <c r="F117" s="7" t="s">
        <v>118</v>
      </c>
      <c r="G117" s="7" t="s">
        <v>116</v>
      </c>
      <c r="H117" s="7">
        <v>2</v>
      </c>
      <c r="I117" s="7">
        <v>9000</v>
      </c>
      <c r="J117" s="14">
        <v>18000</v>
      </c>
      <c r="K117" s="22" t="s">
        <v>402</v>
      </c>
      <c r="M117">
        <f t="shared" si="2"/>
        <v>1800</v>
      </c>
    </row>
    <row r="118" spans="1:13" x14ac:dyDescent="0.35">
      <c r="A118" s="21" t="s">
        <v>198</v>
      </c>
      <c r="B118" s="25">
        <v>45385</v>
      </c>
      <c r="C118" s="7">
        <v>1017</v>
      </c>
      <c r="D118" s="7" t="s">
        <v>93</v>
      </c>
      <c r="E118" s="7" t="s">
        <v>82</v>
      </c>
      <c r="F118" s="7" t="s">
        <v>107</v>
      </c>
      <c r="G118" s="7" t="s">
        <v>108</v>
      </c>
      <c r="H118" s="7">
        <v>6</v>
      </c>
      <c r="I118" s="7">
        <v>2500</v>
      </c>
      <c r="J118" s="14">
        <v>15000</v>
      </c>
      <c r="K118" s="22" t="s">
        <v>418</v>
      </c>
      <c r="M118">
        <f t="shared" si="2"/>
        <v>1500</v>
      </c>
    </row>
    <row r="119" spans="1:13" x14ac:dyDescent="0.35">
      <c r="A119" s="21" t="s">
        <v>120</v>
      </c>
      <c r="B119" s="25">
        <v>45319</v>
      </c>
      <c r="C119" s="7">
        <v>1017</v>
      </c>
      <c r="D119" s="7" t="s">
        <v>93</v>
      </c>
      <c r="E119" s="7" t="s">
        <v>82</v>
      </c>
      <c r="F119" s="7" t="s">
        <v>115</v>
      </c>
      <c r="G119" s="7" t="s">
        <v>116</v>
      </c>
      <c r="H119" s="7">
        <v>2</v>
      </c>
      <c r="I119" s="7">
        <v>6500</v>
      </c>
      <c r="J119" s="14">
        <v>13000</v>
      </c>
      <c r="K119" s="22" t="s">
        <v>418</v>
      </c>
      <c r="M119">
        <f t="shared" si="2"/>
        <v>1300</v>
      </c>
    </row>
    <row r="120" spans="1:13" x14ac:dyDescent="0.35">
      <c r="A120" s="21" t="s">
        <v>294</v>
      </c>
      <c r="B120" s="25">
        <v>45414</v>
      </c>
      <c r="C120" s="7">
        <v>1016</v>
      </c>
      <c r="D120" s="7" t="s">
        <v>92</v>
      </c>
      <c r="E120" s="7" t="s">
        <v>71</v>
      </c>
      <c r="F120" s="7" t="s">
        <v>115</v>
      </c>
      <c r="G120" s="7" t="s">
        <v>116</v>
      </c>
      <c r="H120" s="7">
        <v>2</v>
      </c>
      <c r="I120" s="7">
        <v>6500</v>
      </c>
      <c r="J120" s="14">
        <v>13000</v>
      </c>
      <c r="K120" s="22" t="s">
        <v>407</v>
      </c>
      <c r="M120">
        <f t="shared" si="2"/>
        <v>1300</v>
      </c>
    </row>
    <row r="121" spans="1:13" x14ac:dyDescent="0.35">
      <c r="A121" s="21" t="s">
        <v>166</v>
      </c>
      <c r="B121" s="25">
        <v>45387</v>
      </c>
      <c r="C121" s="7">
        <v>1011</v>
      </c>
      <c r="D121" s="7" t="s">
        <v>87</v>
      </c>
      <c r="E121" s="7" t="s">
        <v>82</v>
      </c>
      <c r="F121" s="7" t="s">
        <v>107</v>
      </c>
      <c r="G121" s="7" t="s">
        <v>108</v>
      </c>
      <c r="H121" s="7">
        <v>5</v>
      </c>
      <c r="I121" s="7">
        <v>2500</v>
      </c>
      <c r="J121" s="14">
        <v>12500</v>
      </c>
      <c r="K121" s="22" t="s">
        <v>416</v>
      </c>
      <c r="M121">
        <f t="shared" si="2"/>
        <v>1250</v>
      </c>
    </row>
    <row r="122" spans="1:13" x14ac:dyDescent="0.35">
      <c r="A122" s="21" t="s">
        <v>187</v>
      </c>
      <c r="B122" s="25">
        <v>45348</v>
      </c>
      <c r="C122" s="7">
        <v>1014</v>
      </c>
      <c r="D122" s="7" t="s">
        <v>90</v>
      </c>
      <c r="E122" s="7" t="s">
        <v>74</v>
      </c>
      <c r="F122" s="7" t="s">
        <v>107</v>
      </c>
      <c r="G122" s="7" t="s">
        <v>108</v>
      </c>
      <c r="H122" s="7">
        <v>5</v>
      </c>
      <c r="I122" s="7">
        <v>2500</v>
      </c>
      <c r="J122" s="14">
        <v>12500</v>
      </c>
      <c r="K122" s="22" t="s">
        <v>414</v>
      </c>
      <c r="M122">
        <f t="shared" si="2"/>
        <v>1250</v>
      </c>
    </row>
    <row r="123" spans="1:13" x14ac:dyDescent="0.35">
      <c r="A123" s="21" t="s">
        <v>222</v>
      </c>
      <c r="B123" s="25">
        <v>45362</v>
      </c>
      <c r="C123" s="7">
        <v>1010</v>
      </c>
      <c r="D123" s="7" t="s">
        <v>86</v>
      </c>
      <c r="E123" s="7" t="s">
        <v>71</v>
      </c>
      <c r="F123" s="7" t="s">
        <v>107</v>
      </c>
      <c r="G123" s="7" t="s">
        <v>108</v>
      </c>
      <c r="H123" s="7">
        <v>5</v>
      </c>
      <c r="I123" s="7">
        <v>2500</v>
      </c>
      <c r="J123" s="14">
        <v>12500</v>
      </c>
      <c r="K123" s="22" t="s">
        <v>405</v>
      </c>
      <c r="M123">
        <f t="shared" si="2"/>
        <v>1250</v>
      </c>
    </row>
    <row r="124" spans="1:13" x14ac:dyDescent="0.35">
      <c r="A124" s="21" t="s">
        <v>264</v>
      </c>
      <c r="B124" s="25">
        <v>45462</v>
      </c>
      <c r="C124" s="7">
        <v>1013</v>
      </c>
      <c r="D124" s="7" t="s">
        <v>89</v>
      </c>
      <c r="E124" s="7" t="s">
        <v>82</v>
      </c>
      <c r="F124" s="7" t="s">
        <v>107</v>
      </c>
      <c r="G124" s="7" t="s">
        <v>108</v>
      </c>
      <c r="H124" s="7">
        <v>5</v>
      </c>
      <c r="I124" s="7">
        <v>2500</v>
      </c>
      <c r="J124" s="14">
        <v>12500</v>
      </c>
      <c r="K124" s="22" t="s">
        <v>408</v>
      </c>
      <c r="M124">
        <f t="shared" si="2"/>
        <v>1250</v>
      </c>
    </row>
    <row r="125" spans="1:13" x14ac:dyDescent="0.35">
      <c r="A125" s="21" t="s">
        <v>283</v>
      </c>
      <c r="B125" s="25">
        <v>45446</v>
      </c>
      <c r="C125" s="7">
        <v>1007</v>
      </c>
      <c r="D125" s="7" t="s">
        <v>81</v>
      </c>
      <c r="E125" s="7" t="s">
        <v>82</v>
      </c>
      <c r="F125" s="7" t="s">
        <v>107</v>
      </c>
      <c r="G125" s="7" t="s">
        <v>108</v>
      </c>
      <c r="H125" s="7">
        <v>5</v>
      </c>
      <c r="I125" s="7">
        <v>2500</v>
      </c>
      <c r="J125" s="14">
        <v>12500</v>
      </c>
      <c r="K125" s="22" t="s">
        <v>404</v>
      </c>
      <c r="M125">
        <f t="shared" si="2"/>
        <v>1250</v>
      </c>
    </row>
    <row r="126" spans="1:13" x14ac:dyDescent="0.35">
      <c r="A126" s="21" t="s">
        <v>165</v>
      </c>
      <c r="B126" s="25">
        <v>45358</v>
      </c>
      <c r="C126" s="7">
        <v>1019</v>
      </c>
      <c r="D126" s="7" t="s">
        <v>95</v>
      </c>
      <c r="E126" s="7" t="s">
        <v>74</v>
      </c>
      <c r="F126" s="7" t="s">
        <v>113</v>
      </c>
      <c r="G126" s="7" t="s">
        <v>108</v>
      </c>
      <c r="H126" s="7">
        <v>15</v>
      </c>
      <c r="I126" s="7">
        <v>800</v>
      </c>
      <c r="J126" s="14">
        <v>12000</v>
      </c>
      <c r="K126" s="22" t="s">
        <v>401</v>
      </c>
      <c r="M126">
        <f t="shared" si="2"/>
        <v>1200</v>
      </c>
    </row>
    <row r="127" spans="1:13" x14ac:dyDescent="0.35">
      <c r="A127" s="21" t="s">
        <v>182</v>
      </c>
      <c r="B127" s="25">
        <v>45303</v>
      </c>
      <c r="C127" s="7">
        <v>1010</v>
      </c>
      <c r="D127" s="7" t="s">
        <v>86</v>
      </c>
      <c r="E127" s="7" t="s">
        <v>71</v>
      </c>
      <c r="F127" s="7" t="s">
        <v>113</v>
      </c>
      <c r="G127" s="7" t="s">
        <v>108</v>
      </c>
      <c r="H127" s="7">
        <v>15</v>
      </c>
      <c r="I127" s="7">
        <v>800</v>
      </c>
      <c r="J127" s="14">
        <v>12000</v>
      </c>
      <c r="K127" s="22" t="s">
        <v>405</v>
      </c>
      <c r="M127">
        <f t="shared" si="2"/>
        <v>1200</v>
      </c>
    </row>
    <row r="128" spans="1:13" x14ac:dyDescent="0.35">
      <c r="A128" s="21" t="s">
        <v>217</v>
      </c>
      <c r="B128" s="25">
        <v>45402</v>
      </c>
      <c r="C128" s="7">
        <v>1017</v>
      </c>
      <c r="D128" s="7" t="s">
        <v>93</v>
      </c>
      <c r="E128" s="7" t="s">
        <v>82</v>
      </c>
      <c r="F128" s="7" t="s">
        <v>113</v>
      </c>
      <c r="G128" s="7" t="s">
        <v>108</v>
      </c>
      <c r="H128" s="7">
        <v>13</v>
      </c>
      <c r="I128" s="7">
        <v>800</v>
      </c>
      <c r="J128" s="14">
        <v>10400</v>
      </c>
      <c r="K128" s="22" t="s">
        <v>418</v>
      </c>
      <c r="M128">
        <f t="shared" si="2"/>
        <v>1040</v>
      </c>
    </row>
    <row r="129" spans="1:13" x14ac:dyDescent="0.35">
      <c r="A129" s="21" t="s">
        <v>141</v>
      </c>
      <c r="B129" s="25">
        <v>45302</v>
      </c>
      <c r="C129" s="7">
        <v>1004</v>
      </c>
      <c r="D129" s="7" t="s">
        <v>77</v>
      </c>
      <c r="E129" s="7" t="s">
        <v>71</v>
      </c>
      <c r="F129" s="7" t="s">
        <v>107</v>
      </c>
      <c r="G129" s="7" t="s">
        <v>108</v>
      </c>
      <c r="H129" s="7">
        <v>4</v>
      </c>
      <c r="I129" s="7">
        <v>2500</v>
      </c>
      <c r="J129" s="14">
        <v>10000</v>
      </c>
      <c r="K129" s="22" t="s">
        <v>412</v>
      </c>
      <c r="M129">
        <f t="shared" si="2"/>
        <v>1000</v>
      </c>
    </row>
    <row r="130" spans="1:13" x14ac:dyDescent="0.35">
      <c r="A130" s="21" t="s">
        <v>189</v>
      </c>
      <c r="B130" s="25">
        <v>45394</v>
      </c>
      <c r="C130" s="7">
        <v>1016</v>
      </c>
      <c r="D130" s="7" t="s">
        <v>92</v>
      </c>
      <c r="E130" s="7" t="s">
        <v>71</v>
      </c>
      <c r="F130" s="7" t="s">
        <v>107</v>
      </c>
      <c r="G130" s="7" t="s">
        <v>108</v>
      </c>
      <c r="H130" s="7">
        <v>4</v>
      </c>
      <c r="I130" s="7">
        <v>2500</v>
      </c>
      <c r="J130" s="14">
        <v>10000</v>
      </c>
      <c r="K130" s="22" t="s">
        <v>407</v>
      </c>
      <c r="M130">
        <f t="shared" si="2"/>
        <v>1000</v>
      </c>
    </row>
    <row r="131" spans="1:13" x14ac:dyDescent="0.35">
      <c r="A131" s="21" t="s">
        <v>190</v>
      </c>
      <c r="B131" s="25">
        <v>45313</v>
      </c>
      <c r="C131" s="7">
        <v>1010</v>
      </c>
      <c r="D131" s="7" t="s">
        <v>86</v>
      </c>
      <c r="E131" s="7" t="s">
        <v>71</v>
      </c>
      <c r="F131" s="7" t="s">
        <v>107</v>
      </c>
      <c r="G131" s="7" t="s">
        <v>108</v>
      </c>
      <c r="H131" s="7">
        <v>4</v>
      </c>
      <c r="I131" s="7">
        <v>2500</v>
      </c>
      <c r="J131" s="14">
        <v>10000</v>
      </c>
      <c r="K131" s="22" t="s">
        <v>405</v>
      </c>
      <c r="M131">
        <f t="shared" si="2"/>
        <v>1000</v>
      </c>
    </row>
    <row r="132" spans="1:13" x14ac:dyDescent="0.35">
      <c r="A132" s="21" t="s">
        <v>269</v>
      </c>
      <c r="B132" s="25">
        <v>45459</v>
      </c>
      <c r="C132" s="7">
        <v>1006</v>
      </c>
      <c r="D132" s="7" t="s">
        <v>79</v>
      </c>
      <c r="E132" s="7" t="s">
        <v>80</v>
      </c>
      <c r="F132" s="7" t="s">
        <v>107</v>
      </c>
      <c r="G132" s="7" t="s">
        <v>108</v>
      </c>
      <c r="H132" s="7">
        <v>4</v>
      </c>
      <c r="I132" s="7">
        <v>2500</v>
      </c>
      <c r="J132" s="14">
        <v>10000</v>
      </c>
      <c r="K132" s="22" t="s">
        <v>403</v>
      </c>
      <c r="M132">
        <f t="shared" si="2"/>
        <v>1000</v>
      </c>
    </row>
    <row r="133" spans="1:13" x14ac:dyDescent="0.35">
      <c r="A133" s="21" t="s">
        <v>195</v>
      </c>
      <c r="B133" s="25">
        <v>45365</v>
      </c>
      <c r="C133" s="7">
        <v>1014</v>
      </c>
      <c r="D133" s="7" t="s">
        <v>90</v>
      </c>
      <c r="E133" s="7" t="s">
        <v>74</v>
      </c>
      <c r="F133" s="7" t="s">
        <v>113</v>
      </c>
      <c r="G133" s="7" t="s">
        <v>108</v>
      </c>
      <c r="H133" s="7">
        <v>12</v>
      </c>
      <c r="I133" s="7">
        <v>800</v>
      </c>
      <c r="J133" s="14">
        <v>9600</v>
      </c>
      <c r="K133" s="22" t="s">
        <v>414</v>
      </c>
      <c r="M133">
        <f t="shared" ref="M133:M183" si="3">J133*$L$1</f>
        <v>960</v>
      </c>
    </row>
    <row r="134" spans="1:13" x14ac:dyDescent="0.35">
      <c r="A134" s="21" t="s">
        <v>177</v>
      </c>
      <c r="B134" s="25">
        <v>45302</v>
      </c>
      <c r="C134" s="7">
        <v>1014</v>
      </c>
      <c r="D134" s="7" t="s">
        <v>90</v>
      </c>
      <c r="E134" s="7" t="s">
        <v>74</v>
      </c>
      <c r="F134" s="7" t="s">
        <v>118</v>
      </c>
      <c r="G134" s="7" t="s">
        <v>116</v>
      </c>
      <c r="H134" s="7">
        <v>1</v>
      </c>
      <c r="I134" s="7">
        <v>9000</v>
      </c>
      <c r="J134" s="14">
        <v>9000</v>
      </c>
      <c r="K134" s="22" t="s">
        <v>414</v>
      </c>
      <c r="M134">
        <f t="shared" si="3"/>
        <v>900</v>
      </c>
    </row>
    <row r="135" spans="1:13" x14ac:dyDescent="0.35">
      <c r="A135" s="21" t="s">
        <v>194</v>
      </c>
      <c r="B135" s="25">
        <v>45311</v>
      </c>
      <c r="C135" s="7">
        <v>1006</v>
      </c>
      <c r="D135" s="7" t="s">
        <v>79</v>
      </c>
      <c r="E135" s="7" t="s">
        <v>80</v>
      </c>
      <c r="F135" s="7" t="s">
        <v>118</v>
      </c>
      <c r="G135" s="7" t="s">
        <v>116</v>
      </c>
      <c r="H135" s="7">
        <v>1</v>
      </c>
      <c r="I135" s="7">
        <v>9000</v>
      </c>
      <c r="J135" s="14">
        <v>9000</v>
      </c>
      <c r="K135" s="22" t="s">
        <v>403</v>
      </c>
      <c r="M135">
        <f t="shared" si="3"/>
        <v>900</v>
      </c>
    </row>
    <row r="136" spans="1:13" x14ac:dyDescent="0.35">
      <c r="A136" s="21" t="s">
        <v>199</v>
      </c>
      <c r="B136" s="25">
        <v>45315</v>
      </c>
      <c r="C136" s="7">
        <v>1011</v>
      </c>
      <c r="D136" s="7" t="s">
        <v>87</v>
      </c>
      <c r="E136" s="7" t="s">
        <v>82</v>
      </c>
      <c r="F136" s="7" t="s">
        <v>113</v>
      </c>
      <c r="G136" s="7" t="s">
        <v>108</v>
      </c>
      <c r="H136" s="7">
        <v>11</v>
      </c>
      <c r="I136" s="7">
        <v>800</v>
      </c>
      <c r="J136" s="14">
        <v>8800</v>
      </c>
      <c r="K136" s="22" t="s">
        <v>416</v>
      </c>
      <c r="M136">
        <f t="shared" si="3"/>
        <v>880</v>
      </c>
    </row>
    <row r="137" spans="1:13" x14ac:dyDescent="0.35">
      <c r="A137" s="21" t="s">
        <v>252</v>
      </c>
      <c r="B137" s="25">
        <v>45405</v>
      </c>
      <c r="C137" s="7">
        <v>1014</v>
      </c>
      <c r="D137" s="7" t="s">
        <v>90</v>
      </c>
      <c r="E137" s="7" t="s">
        <v>74</v>
      </c>
      <c r="F137" s="7" t="s">
        <v>113</v>
      </c>
      <c r="G137" s="7" t="s">
        <v>108</v>
      </c>
      <c r="H137" s="7">
        <v>11</v>
      </c>
      <c r="I137" s="7">
        <v>800</v>
      </c>
      <c r="J137" s="14">
        <v>8800</v>
      </c>
      <c r="K137" s="22" t="s">
        <v>414</v>
      </c>
      <c r="M137">
        <f t="shared" si="3"/>
        <v>880</v>
      </c>
    </row>
    <row r="138" spans="1:13" x14ac:dyDescent="0.35">
      <c r="A138" s="21" t="s">
        <v>295</v>
      </c>
      <c r="B138" s="25">
        <v>45352</v>
      </c>
      <c r="C138" s="7">
        <v>1014</v>
      </c>
      <c r="D138" s="7" t="s">
        <v>90</v>
      </c>
      <c r="E138" s="7" t="s">
        <v>74</v>
      </c>
      <c r="F138" s="7" t="s">
        <v>113</v>
      </c>
      <c r="G138" s="7" t="s">
        <v>108</v>
      </c>
      <c r="H138" s="7">
        <v>10</v>
      </c>
      <c r="I138" s="7">
        <v>800</v>
      </c>
      <c r="J138" s="14">
        <v>8000</v>
      </c>
      <c r="K138" s="22" t="s">
        <v>414</v>
      </c>
      <c r="M138">
        <f t="shared" si="3"/>
        <v>800</v>
      </c>
    </row>
    <row r="139" spans="1:13" x14ac:dyDescent="0.35">
      <c r="A139" s="21" t="s">
        <v>130</v>
      </c>
      <c r="B139" s="25">
        <v>45376</v>
      </c>
      <c r="C139" s="7">
        <v>1020</v>
      </c>
      <c r="D139" s="7" t="s">
        <v>96</v>
      </c>
      <c r="E139" s="7" t="s">
        <v>80</v>
      </c>
      <c r="F139" s="7" t="s">
        <v>107</v>
      </c>
      <c r="G139" s="7" t="s">
        <v>108</v>
      </c>
      <c r="H139" s="7">
        <v>3</v>
      </c>
      <c r="I139" s="7">
        <v>2500</v>
      </c>
      <c r="J139" s="14">
        <v>7500</v>
      </c>
      <c r="K139" s="22" t="s">
        <v>400</v>
      </c>
      <c r="M139">
        <f t="shared" si="3"/>
        <v>750</v>
      </c>
    </row>
    <row r="140" spans="1:13" x14ac:dyDescent="0.35">
      <c r="A140" s="21" t="s">
        <v>214</v>
      </c>
      <c r="B140" s="25">
        <v>45460</v>
      </c>
      <c r="C140" s="7">
        <v>1014</v>
      </c>
      <c r="D140" s="7" t="s">
        <v>90</v>
      </c>
      <c r="E140" s="7" t="s">
        <v>74</v>
      </c>
      <c r="F140" s="7" t="s">
        <v>107</v>
      </c>
      <c r="G140" s="7" t="s">
        <v>108</v>
      </c>
      <c r="H140" s="7">
        <v>3</v>
      </c>
      <c r="I140" s="7">
        <v>2500</v>
      </c>
      <c r="J140" s="14">
        <v>7500</v>
      </c>
      <c r="K140" s="22" t="s">
        <v>414</v>
      </c>
      <c r="M140">
        <f t="shared" si="3"/>
        <v>750</v>
      </c>
    </row>
    <row r="141" spans="1:13" x14ac:dyDescent="0.35">
      <c r="A141" s="21" t="s">
        <v>284</v>
      </c>
      <c r="B141" s="25">
        <v>45415</v>
      </c>
      <c r="C141" s="7">
        <v>1006</v>
      </c>
      <c r="D141" s="7" t="s">
        <v>79</v>
      </c>
      <c r="E141" s="7" t="s">
        <v>80</v>
      </c>
      <c r="F141" s="7" t="s">
        <v>107</v>
      </c>
      <c r="G141" s="7" t="s">
        <v>108</v>
      </c>
      <c r="H141" s="7">
        <v>3</v>
      </c>
      <c r="I141" s="7">
        <v>2500</v>
      </c>
      <c r="J141" s="14">
        <v>7500</v>
      </c>
      <c r="K141" s="22" t="s">
        <v>403</v>
      </c>
      <c r="M141">
        <f t="shared" si="3"/>
        <v>750</v>
      </c>
    </row>
    <row r="142" spans="1:13" x14ac:dyDescent="0.35">
      <c r="A142" s="21" t="s">
        <v>249</v>
      </c>
      <c r="B142" s="25">
        <v>45404</v>
      </c>
      <c r="C142" s="7">
        <v>1002</v>
      </c>
      <c r="D142" s="7" t="s">
        <v>73</v>
      </c>
      <c r="E142" s="7" t="s">
        <v>74</v>
      </c>
      <c r="F142" s="7" t="s">
        <v>113</v>
      </c>
      <c r="G142" s="7" t="s">
        <v>108</v>
      </c>
      <c r="H142" s="7">
        <v>9</v>
      </c>
      <c r="I142" s="7">
        <v>800</v>
      </c>
      <c r="J142" s="14">
        <v>7200</v>
      </c>
      <c r="K142" s="22" t="s">
        <v>410</v>
      </c>
      <c r="M142">
        <f t="shared" si="3"/>
        <v>720</v>
      </c>
    </row>
    <row r="143" spans="1:13" x14ac:dyDescent="0.35">
      <c r="A143" s="21" t="s">
        <v>188</v>
      </c>
      <c r="B143" s="25">
        <v>45319</v>
      </c>
      <c r="C143" s="7">
        <v>1004</v>
      </c>
      <c r="D143" s="7" t="s">
        <v>77</v>
      </c>
      <c r="E143" s="7" t="s">
        <v>71</v>
      </c>
      <c r="F143" s="7" t="s">
        <v>111</v>
      </c>
      <c r="G143" s="7" t="s">
        <v>108</v>
      </c>
      <c r="H143" s="7">
        <v>14</v>
      </c>
      <c r="I143" s="7">
        <v>500</v>
      </c>
      <c r="J143" s="14">
        <v>7000</v>
      </c>
      <c r="K143" s="22" t="s">
        <v>412</v>
      </c>
      <c r="M143">
        <f t="shared" si="3"/>
        <v>700</v>
      </c>
    </row>
    <row r="144" spans="1:13" x14ac:dyDescent="0.35">
      <c r="A144" s="21" t="s">
        <v>218</v>
      </c>
      <c r="B144" s="25">
        <v>45427</v>
      </c>
      <c r="C144" s="7">
        <v>1017</v>
      </c>
      <c r="D144" s="7" t="s">
        <v>93</v>
      </c>
      <c r="E144" s="7" t="s">
        <v>82</v>
      </c>
      <c r="F144" s="7" t="s">
        <v>111</v>
      </c>
      <c r="G144" s="7" t="s">
        <v>108</v>
      </c>
      <c r="H144" s="7">
        <v>14</v>
      </c>
      <c r="I144" s="7">
        <v>500</v>
      </c>
      <c r="J144" s="14">
        <v>7000</v>
      </c>
      <c r="K144" s="22" t="s">
        <v>418</v>
      </c>
      <c r="M144">
        <f t="shared" si="3"/>
        <v>700</v>
      </c>
    </row>
    <row r="145" spans="1:13" x14ac:dyDescent="0.35">
      <c r="A145" s="21" t="s">
        <v>251</v>
      </c>
      <c r="B145" s="25">
        <v>45386</v>
      </c>
      <c r="C145" s="7">
        <v>1001</v>
      </c>
      <c r="D145" s="7" t="s">
        <v>70</v>
      </c>
      <c r="E145" s="7" t="s">
        <v>71</v>
      </c>
      <c r="F145" s="7" t="s">
        <v>111</v>
      </c>
      <c r="G145" s="7" t="s">
        <v>108</v>
      </c>
      <c r="H145" s="7">
        <v>14</v>
      </c>
      <c r="I145" s="7">
        <v>500</v>
      </c>
      <c r="J145" s="14">
        <v>7000</v>
      </c>
      <c r="K145" s="22" t="s">
        <v>411</v>
      </c>
      <c r="M145">
        <f t="shared" si="3"/>
        <v>700</v>
      </c>
    </row>
    <row r="146" spans="1:13" x14ac:dyDescent="0.35">
      <c r="A146" s="21" t="s">
        <v>231</v>
      </c>
      <c r="B146" s="25">
        <v>45393</v>
      </c>
      <c r="C146" s="7">
        <v>1014</v>
      </c>
      <c r="D146" s="7" t="s">
        <v>90</v>
      </c>
      <c r="E146" s="7" t="s">
        <v>74</v>
      </c>
      <c r="F146" s="7" t="s">
        <v>115</v>
      </c>
      <c r="G146" s="7" t="s">
        <v>116</v>
      </c>
      <c r="H146" s="7">
        <v>1</v>
      </c>
      <c r="I146" s="7">
        <v>6500</v>
      </c>
      <c r="J146" s="14">
        <v>6500</v>
      </c>
      <c r="K146" s="22" t="s">
        <v>414</v>
      </c>
      <c r="M146">
        <f t="shared" si="3"/>
        <v>650</v>
      </c>
    </row>
    <row r="147" spans="1:13" x14ac:dyDescent="0.35">
      <c r="A147" s="21" t="s">
        <v>238</v>
      </c>
      <c r="B147" s="25">
        <v>45461</v>
      </c>
      <c r="C147" s="7">
        <v>1003</v>
      </c>
      <c r="D147" s="7" t="s">
        <v>76</v>
      </c>
      <c r="E147" s="7" t="s">
        <v>71</v>
      </c>
      <c r="F147" s="7" t="s">
        <v>115</v>
      </c>
      <c r="G147" s="7" t="s">
        <v>116</v>
      </c>
      <c r="H147" s="7">
        <v>1</v>
      </c>
      <c r="I147" s="7">
        <v>6500</v>
      </c>
      <c r="J147" s="14">
        <v>6500</v>
      </c>
      <c r="K147" s="22" t="s">
        <v>413</v>
      </c>
      <c r="M147">
        <f t="shared" si="3"/>
        <v>650</v>
      </c>
    </row>
    <row r="148" spans="1:13" x14ac:dyDescent="0.35">
      <c r="A148" s="21" t="s">
        <v>205</v>
      </c>
      <c r="B148" s="25">
        <v>45397</v>
      </c>
      <c r="C148" s="7">
        <v>1019</v>
      </c>
      <c r="D148" s="7" t="s">
        <v>95</v>
      </c>
      <c r="E148" s="7" t="s">
        <v>74</v>
      </c>
      <c r="F148" s="7" t="s">
        <v>113</v>
      </c>
      <c r="G148" s="7" t="s">
        <v>108</v>
      </c>
      <c r="H148" s="7">
        <v>8</v>
      </c>
      <c r="I148" s="7">
        <v>800</v>
      </c>
      <c r="J148" s="14">
        <v>6400</v>
      </c>
      <c r="K148" s="22" t="s">
        <v>401</v>
      </c>
      <c r="M148">
        <f t="shared" si="3"/>
        <v>640</v>
      </c>
    </row>
    <row r="149" spans="1:13" x14ac:dyDescent="0.35">
      <c r="A149" s="21" t="s">
        <v>148</v>
      </c>
      <c r="B149" s="25">
        <v>45397</v>
      </c>
      <c r="C149" s="7">
        <v>1014</v>
      </c>
      <c r="D149" s="7" t="s">
        <v>90</v>
      </c>
      <c r="E149" s="7" t="s">
        <v>74</v>
      </c>
      <c r="F149" s="7" t="s">
        <v>113</v>
      </c>
      <c r="G149" s="7" t="s">
        <v>108</v>
      </c>
      <c r="H149" s="7">
        <v>7</v>
      </c>
      <c r="I149" s="7">
        <v>800</v>
      </c>
      <c r="J149" s="14">
        <v>5600</v>
      </c>
      <c r="K149" s="22" t="s">
        <v>414</v>
      </c>
      <c r="M149">
        <f t="shared" si="3"/>
        <v>560</v>
      </c>
    </row>
    <row r="150" spans="1:13" x14ac:dyDescent="0.35">
      <c r="A150" s="21" t="s">
        <v>202</v>
      </c>
      <c r="B150" s="25">
        <v>45449</v>
      </c>
      <c r="C150" s="7">
        <v>1014</v>
      </c>
      <c r="D150" s="7" t="s">
        <v>90</v>
      </c>
      <c r="E150" s="7" t="s">
        <v>74</v>
      </c>
      <c r="F150" s="7" t="s">
        <v>111</v>
      </c>
      <c r="G150" s="7" t="s">
        <v>108</v>
      </c>
      <c r="H150" s="7">
        <v>11</v>
      </c>
      <c r="I150" s="7">
        <v>500</v>
      </c>
      <c r="J150" s="14">
        <v>5500</v>
      </c>
      <c r="K150" s="22" t="s">
        <v>414</v>
      </c>
      <c r="M150">
        <f t="shared" si="3"/>
        <v>550</v>
      </c>
    </row>
    <row r="151" spans="1:13" x14ac:dyDescent="0.35">
      <c r="A151" s="21" t="s">
        <v>147</v>
      </c>
      <c r="B151" s="25">
        <v>45313</v>
      </c>
      <c r="C151" s="7">
        <v>1014</v>
      </c>
      <c r="D151" s="7" t="s">
        <v>90</v>
      </c>
      <c r="E151" s="7" t="s">
        <v>74</v>
      </c>
      <c r="F151" s="7" t="s">
        <v>107</v>
      </c>
      <c r="G151" s="7" t="s">
        <v>108</v>
      </c>
      <c r="H151" s="7">
        <v>2</v>
      </c>
      <c r="I151" s="7">
        <v>2500</v>
      </c>
      <c r="J151" s="14">
        <v>5000</v>
      </c>
      <c r="K151" s="22" t="s">
        <v>414</v>
      </c>
      <c r="M151">
        <f t="shared" si="3"/>
        <v>500</v>
      </c>
    </row>
    <row r="152" spans="1:13" x14ac:dyDescent="0.35">
      <c r="A152" s="21" t="s">
        <v>184</v>
      </c>
      <c r="B152" s="25">
        <v>45448</v>
      </c>
      <c r="C152" s="7">
        <v>1018</v>
      </c>
      <c r="D152" s="7" t="s">
        <v>94</v>
      </c>
      <c r="E152" s="7" t="s">
        <v>74</v>
      </c>
      <c r="F152" s="7" t="s">
        <v>111</v>
      </c>
      <c r="G152" s="7" t="s">
        <v>108</v>
      </c>
      <c r="H152" s="7">
        <v>10</v>
      </c>
      <c r="I152" s="7">
        <v>500</v>
      </c>
      <c r="J152" s="14">
        <v>5000</v>
      </c>
      <c r="K152" s="22" t="s">
        <v>417</v>
      </c>
      <c r="M152">
        <f t="shared" si="3"/>
        <v>500</v>
      </c>
    </row>
    <row r="153" spans="1:13" x14ac:dyDescent="0.35">
      <c r="A153" s="21" t="s">
        <v>246</v>
      </c>
      <c r="B153" s="25">
        <v>45435</v>
      </c>
      <c r="C153" s="7">
        <v>1013</v>
      </c>
      <c r="D153" s="7" t="s">
        <v>89</v>
      </c>
      <c r="E153" s="7" t="s">
        <v>82</v>
      </c>
      <c r="F153" s="7" t="s">
        <v>107</v>
      </c>
      <c r="G153" s="7" t="s">
        <v>108</v>
      </c>
      <c r="H153" s="7">
        <v>2</v>
      </c>
      <c r="I153" s="7">
        <v>2500</v>
      </c>
      <c r="J153" s="14">
        <v>5000</v>
      </c>
      <c r="K153" s="22" t="s">
        <v>408</v>
      </c>
      <c r="M153">
        <f t="shared" si="3"/>
        <v>500</v>
      </c>
    </row>
    <row r="154" spans="1:13" x14ac:dyDescent="0.35">
      <c r="A154" s="21" t="s">
        <v>279</v>
      </c>
      <c r="B154" s="25">
        <v>45437</v>
      </c>
      <c r="C154" s="7">
        <v>1003</v>
      </c>
      <c r="D154" s="7" t="s">
        <v>76</v>
      </c>
      <c r="E154" s="7" t="s">
        <v>71</v>
      </c>
      <c r="F154" s="7" t="s">
        <v>107</v>
      </c>
      <c r="G154" s="7" t="s">
        <v>108</v>
      </c>
      <c r="H154" s="7">
        <v>2</v>
      </c>
      <c r="I154" s="7">
        <v>2500</v>
      </c>
      <c r="J154" s="14">
        <v>5000</v>
      </c>
      <c r="K154" s="22" t="s">
        <v>413</v>
      </c>
      <c r="M154">
        <f t="shared" si="3"/>
        <v>500</v>
      </c>
    </row>
    <row r="155" spans="1:13" x14ac:dyDescent="0.35">
      <c r="A155" s="21" t="s">
        <v>266</v>
      </c>
      <c r="B155" s="25">
        <v>45458</v>
      </c>
      <c r="C155" s="7">
        <v>1014</v>
      </c>
      <c r="D155" s="7" t="s">
        <v>90</v>
      </c>
      <c r="E155" s="7" t="s">
        <v>74</v>
      </c>
      <c r="F155" s="7" t="s">
        <v>113</v>
      </c>
      <c r="G155" s="7" t="s">
        <v>108</v>
      </c>
      <c r="H155" s="7">
        <v>6</v>
      </c>
      <c r="I155" s="7">
        <v>800</v>
      </c>
      <c r="J155" s="14">
        <v>4800</v>
      </c>
      <c r="K155" s="22" t="s">
        <v>414</v>
      </c>
      <c r="M155">
        <f t="shared" si="3"/>
        <v>480</v>
      </c>
    </row>
    <row r="156" spans="1:13" x14ac:dyDescent="0.35">
      <c r="A156" s="21" t="s">
        <v>179</v>
      </c>
      <c r="B156" s="25">
        <v>45295</v>
      </c>
      <c r="C156" s="7">
        <v>1018</v>
      </c>
      <c r="D156" s="7" t="s">
        <v>94</v>
      </c>
      <c r="E156" s="7" t="s">
        <v>74</v>
      </c>
      <c r="F156" s="7" t="s">
        <v>111</v>
      </c>
      <c r="G156" s="7" t="s">
        <v>108</v>
      </c>
      <c r="H156" s="7">
        <v>9</v>
      </c>
      <c r="I156" s="7">
        <v>500</v>
      </c>
      <c r="J156" s="14">
        <v>4500</v>
      </c>
      <c r="K156" s="22" t="s">
        <v>417</v>
      </c>
      <c r="M156">
        <f t="shared" si="3"/>
        <v>450</v>
      </c>
    </row>
    <row r="157" spans="1:13" x14ac:dyDescent="0.35">
      <c r="A157" s="21" t="s">
        <v>229</v>
      </c>
      <c r="B157" s="25">
        <v>45467</v>
      </c>
      <c r="C157" s="7">
        <v>1013</v>
      </c>
      <c r="D157" s="7" t="s">
        <v>89</v>
      </c>
      <c r="E157" s="7" t="s">
        <v>82</v>
      </c>
      <c r="F157" s="7" t="s">
        <v>111</v>
      </c>
      <c r="G157" s="7" t="s">
        <v>108</v>
      </c>
      <c r="H157" s="7">
        <v>9</v>
      </c>
      <c r="I157" s="7">
        <v>500</v>
      </c>
      <c r="J157" s="14">
        <v>4500</v>
      </c>
      <c r="K157" s="22" t="s">
        <v>408</v>
      </c>
      <c r="M157">
        <f t="shared" si="3"/>
        <v>450</v>
      </c>
    </row>
    <row r="158" spans="1:13" x14ac:dyDescent="0.35">
      <c r="A158" s="21" t="s">
        <v>170</v>
      </c>
      <c r="B158" s="25">
        <v>45337</v>
      </c>
      <c r="C158" s="7">
        <v>1008</v>
      </c>
      <c r="D158" s="7" t="s">
        <v>83</v>
      </c>
      <c r="E158" s="7" t="s">
        <v>82</v>
      </c>
      <c r="F158" s="7" t="s">
        <v>113</v>
      </c>
      <c r="G158" s="7" t="s">
        <v>108</v>
      </c>
      <c r="H158" s="7">
        <v>5</v>
      </c>
      <c r="I158" s="7">
        <v>800</v>
      </c>
      <c r="J158" s="14">
        <v>4000</v>
      </c>
      <c r="K158" s="22" t="s">
        <v>409</v>
      </c>
      <c r="M158">
        <f t="shared" si="3"/>
        <v>400</v>
      </c>
    </row>
    <row r="159" spans="1:13" x14ac:dyDescent="0.35">
      <c r="A159" s="21" t="s">
        <v>212</v>
      </c>
      <c r="B159" s="25">
        <v>45390</v>
      </c>
      <c r="C159" s="7">
        <v>1007</v>
      </c>
      <c r="D159" s="7" t="s">
        <v>81</v>
      </c>
      <c r="E159" s="7" t="s">
        <v>82</v>
      </c>
      <c r="F159" s="7" t="s">
        <v>111</v>
      </c>
      <c r="G159" s="7" t="s">
        <v>108</v>
      </c>
      <c r="H159" s="7">
        <v>8</v>
      </c>
      <c r="I159" s="7">
        <v>500</v>
      </c>
      <c r="J159" s="14">
        <v>4000</v>
      </c>
      <c r="K159" s="22" t="s">
        <v>404</v>
      </c>
      <c r="M159">
        <f t="shared" si="3"/>
        <v>400</v>
      </c>
    </row>
    <row r="160" spans="1:13" x14ac:dyDescent="0.35">
      <c r="A160" s="21" t="s">
        <v>259</v>
      </c>
      <c r="B160" s="25">
        <v>45435</v>
      </c>
      <c r="C160" s="7">
        <v>1009</v>
      </c>
      <c r="D160" s="7" t="s">
        <v>85</v>
      </c>
      <c r="E160" s="7" t="s">
        <v>82</v>
      </c>
      <c r="F160" s="7" t="s">
        <v>113</v>
      </c>
      <c r="G160" s="7" t="s">
        <v>108</v>
      </c>
      <c r="H160" s="7">
        <v>5</v>
      </c>
      <c r="I160" s="7">
        <v>800</v>
      </c>
      <c r="J160" s="14">
        <v>4000</v>
      </c>
      <c r="K160" s="22" t="s">
        <v>402</v>
      </c>
      <c r="M160">
        <f t="shared" si="3"/>
        <v>400</v>
      </c>
    </row>
    <row r="161" spans="1:13" x14ac:dyDescent="0.35">
      <c r="A161" s="21" t="s">
        <v>261</v>
      </c>
      <c r="B161" s="25">
        <v>45437</v>
      </c>
      <c r="C161" s="7">
        <v>1008</v>
      </c>
      <c r="D161" s="7" t="s">
        <v>83</v>
      </c>
      <c r="E161" s="7" t="s">
        <v>82</v>
      </c>
      <c r="F161" s="7" t="s">
        <v>111</v>
      </c>
      <c r="G161" s="7" t="s">
        <v>108</v>
      </c>
      <c r="H161" s="7">
        <v>8</v>
      </c>
      <c r="I161" s="7">
        <v>500</v>
      </c>
      <c r="J161" s="14">
        <v>4000</v>
      </c>
      <c r="K161" s="22" t="s">
        <v>409</v>
      </c>
      <c r="M161">
        <f t="shared" si="3"/>
        <v>400</v>
      </c>
    </row>
    <row r="162" spans="1:13" x14ac:dyDescent="0.35">
      <c r="A162" s="21" t="s">
        <v>277</v>
      </c>
      <c r="B162" s="25">
        <v>45310</v>
      </c>
      <c r="C162" s="7">
        <v>1003</v>
      </c>
      <c r="D162" s="7" t="s">
        <v>76</v>
      </c>
      <c r="E162" s="7" t="s">
        <v>71</v>
      </c>
      <c r="F162" s="7" t="s">
        <v>111</v>
      </c>
      <c r="G162" s="7" t="s">
        <v>108</v>
      </c>
      <c r="H162" s="7">
        <v>8</v>
      </c>
      <c r="I162" s="7">
        <v>500</v>
      </c>
      <c r="J162" s="14">
        <v>4000</v>
      </c>
      <c r="K162" s="22" t="s">
        <v>413</v>
      </c>
      <c r="M162">
        <f t="shared" si="3"/>
        <v>400</v>
      </c>
    </row>
    <row r="163" spans="1:13" x14ac:dyDescent="0.35">
      <c r="A163" s="21" t="s">
        <v>112</v>
      </c>
      <c r="B163" s="25">
        <v>45459</v>
      </c>
      <c r="C163" s="7">
        <v>1019</v>
      </c>
      <c r="D163" s="7" t="s">
        <v>95</v>
      </c>
      <c r="E163" s="7" t="s">
        <v>74</v>
      </c>
      <c r="F163" s="7" t="s">
        <v>113</v>
      </c>
      <c r="G163" s="7" t="s">
        <v>108</v>
      </c>
      <c r="H163" s="7">
        <v>4</v>
      </c>
      <c r="I163" s="7">
        <v>800</v>
      </c>
      <c r="J163" s="14">
        <v>3200</v>
      </c>
      <c r="K163" s="22" t="s">
        <v>401</v>
      </c>
      <c r="M163">
        <f t="shared" si="3"/>
        <v>320</v>
      </c>
    </row>
    <row r="164" spans="1:13" x14ac:dyDescent="0.35">
      <c r="A164" s="21" t="s">
        <v>175</v>
      </c>
      <c r="B164" s="25">
        <v>45464</v>
      </c>
      <c r="C164" s="7">
        <v>1007</v>
      </c>
      <c r="D164" s="7" t="s">
        <v>81</v>
      </c>
      <c r="E164" s="7" t="s">
        <v>82</v>
      </c>
      <c r="F164" s="7" t="s">
        <v>113</v>
      </c>
      <c r="G164" s="7" t="s">
        <v>108</v>
      </c>
      <c r="H164" s="7">
        <v>4</v>
      </c>
      <c r="I164" s="7">
        <v>800</v>
      </c>
      <c r="J164" s="14">
        <v>3200</v>
      </c>
      <c r="K164" s="22" t="s">
        <v>404</v>
      </c>
      <c r="M164">
        <f t="shared" si="3"/>
        <v>320</v>
      </c>
    </row>
    <row r="165" spans="1:13" x14ac:dyDescent="0.35">
      <c r="A165" s="21" t="s">
        <v>236</v>
      </c>
      <c r="B165" s="25">
        <v>45393</v>
      </c>
      <c r="C165" s="7">
        <v>1013</v>
      </c>
      <c r="D165" s="7" t="s">
        <v>89</v>
      </c>
      <c r="E165" s="7" t="s">
        <v>82</v>
      </c>
      <c r="F165" s="7" t="s">
        <v>113</v>
      </c>
      <c r="G165" s="7" t="s">
        <v>108</v>
      </c>
      <c r="H165" s="7">
        <v>4</v>
      </c>
      <c r="I165" s="7">
        <v>800</v>
      </c>
      <c r="J165" s="14">
        <v>3200</v>
      </c>
      <c r="K165" s="22" t="s">
        <v>408</v>
      </c>
      <c r="M165">
        <f t="shared" si="3"/>
        <v>320</v>
      </c>
    </row>
    <row r="166" spans="1:13" x14ac:dyDescent="0.35">
      <c r="A166" s="21" t="s">
        <v>239</v>
      </c>
      <c r="B166" s="25">
        <v>45446</v>
      </c>
      <c r="C166" s="7">
        <v>1002</v>
      </c>
      <c r="D166" s="7" t="s">
        <v>73</v>
      </c>
      <c r="E166" s="7" t="s">
        <v>74</v>
      </c>
      <c r="F166" s="7" t="s">
        <v>113</v>
      </c>
      <c r="G166" s="7" t="s">
        <v>108</v>
      </c>
      <c r="H166" s="7">
        <v>4</v>
      </c>
      <c r="I166" s="7">
        <v>800</v>
      </c>
      <c r="J166" s="14">
        <v>3200</v>
      </c>
      <c r="K166" s="22" t="s">
        <v>410</v>
      </c>
      <c r="M166">
        <f t="shared" si="3"/>
        <v>320</v>
      </c>
    </row>
    <row r="167" spans="1:13" x14ac:dyDescent="0.35">
      <c r="A167" s="21" t="s">
        <v>119</v>
      </c>
      <c r="B167" s="25">
        <v>45327</v>
      </c>
      <c r="C167" s="7">
        <v>1019</v>
      </c>
      <c r="D167" s="7" t="s">
        <v>95</v>
      </c>
      <c r="E167" s="7" t="s">
        <v>74</v>
      </c>
      <c r="F167" s="7" t="s">
        <v>111</v>
      </c>
      <c r="G167" s="7" t="s">
        <v>108</v>
      </c>
      <c r="H167" s="7">
        <v>6</v>
      </c>
      <c r="I167" s="7">
        <v>500</v>
      </c>
      <c r="J167" s="14">
        <v>3000</v>
      </c>
      <c r="K167" s="22" t="s">
        <v>401</v>
      </c>
      <c r="M167">
        <f t="shared" si="3"/>
        <v>300</v>
      </c>
    </row>
    <row r="168" spans="1:13" x14ac:dyDescent="0.35">
      <c r="A168" s="21" t="s">
        <v>191</v>
      </c>
      <c r="B168" s="25">
        <v>45379</v>
      </c>
      <c r="C168" s="7">
        <v>1007</v>
      </c>
      <c r="D168" s="7" t="s">
        <v>81</v>
      </c>
      <c r="E168" s="7" t="s">
        <v>82</v>
      </c>
      <c r="F168" s="7" t="s">
        <v>111</v>
      </c>
      <c r="G168" s="7" t="s">
        <v>108</v>
      </c>
      <c r="H168" s="7">
        <v>6</v>
      </c>
      <c r="I168" s="7">
        <v>500</v>
      </c>
      <c r="J168" s="14">
        <v>3000</v>
      </c>
      <c r="K168" s="22" t="s">
        <v>404</v>
      </c>
      <c r="M168">
        <f t="shared" si="3"/>
        <v>300</v>
      </c>
    </row>
    <row r="169" spans="1:13" x14ac:dyDescent="0.35">
      <c r="A169" s="21" t="s">
        <v>225</v>
      </c>
      <c r="B169" s="25">
        <v>45427</v>
      </c>
      <c r="C169" s="7">
        <v>1014</v>
      </c>
      <c r="D169" s="7" t="s">
        <v>90</v>
      </c>
      <c r="E169" s="7" t="s">
        <v>74</v>
      </c>
      <c r="F169" s="7" t="s">
        <v>111</v>
      </c>
      <c r="G169" s="7" t="s">
        <v>108</v>
      </c>
      <c r="H169" s="7">
        <v>6</v>
      </c>
      <c r="I169" s="7">
        <v>500</v>
      </c>
      <c r="J169" s="14">
        <v>3000</v>
      </c>
      <c r="K169" s="22" t="s">
        <v>414</v>
      </c>
      <c r="M169">
        <f t="shared" si="3"/>
        <v>300</v>
      </c>
    </row>
    <row r="170" spans="1:13" x14ac:dyDescent="0.35">
      <c r="A170" s="21" t="s">
        <v>257</v>
      </c>
      <c r="B170" s="25">
        <v>45307</v>
      </c>
      <c r="C170" s="7">
        <v>1015</v>
      </c>
      <c r="D170" s="7" t="s">
        <v>91</v>
      </c>
      <c r="E170" s="7" t="s">
        <v>74</v>
      </c>
      <c r="F170" s="7" t="s">
        <v>111</v>
      </c>
      <c r="G170" s="7" t="s">
        <v>108</v>
      </c>
      <c r="H170" s="7">
        <v>6</v>
      </c>
      <c r="I170" s="7">
        <v>500</v>
      </c>
      <c r="J170" s="14">
        <v>3000</v>
      </c>
      <c r="K170" s="22" t="s">
        <v>406</v>
      </c>
      <c r="M170">
        <f t="shared" si="3"/>
        <v>300</v>
      </c>
    </row>
    <row r="171" spans="1:13" x14ac:dyDescent="0.35">
      <c r="A171" s="21" t="s">
        <v>110</v>
      </c>
      <c r="B171" s="25">
        <v>45298</v>
      </c>
      <c r="C171" s="7">
        <v>1011</v>
      </c>
      <c r="D171" s="7" t="s">
        <v>87</v>
      </c>
      <c r="E171" s="7" t="s">
        <v>82</v>
      </c>
      <c r="F171" s="7" t="s">
        <v>111</v>
      </c>
      <c r="G171" s="7" t="s">
        <v>108</v>
      </c>
      <c r="H171" s="7">
        <v>5</v>
      </c>
      <c r="I171" s="7">
        <v>500</v>
      </c>
      <c r="J171" s="14">
        <v>2500</v>
      </c>
      <c r="K171" s="22" t="s">
        <v>416</v>
      </c>
      <c r="M171">
        <f t="shared" si="3"/>
        <v>250</v>
      </c>
    </row>
    <row r="172" spans="1:13" x14ac:dyDescent="0.35">
      <c r="A172" s="21" t="s">
        <v>134</v>
      </c>
      <c r="B172" s="25">
        <v>45341</v>
      </c>
      <c r="C172" s="7">
        <v>1010</v>
      </c>
      <c r="D172" s="7" t="s">
        <v>86</v>
      </c>
      <c r="E172" s="7" t="s">
        <v>71</v>
      </c>
      <c r="F172" s="7" t="s">
        <v>107</v>
      </c>
      <c r="G172" s="7" t="s">
        <v>108</v>
      </c>
      <c r="H172" s="7">
        <v>1</v>
      </c>
      <c r="I172" s="7">
        <v>2500</v>
      </c>
      <c r="J172" s="14">
        <v>2500</v>
      </c>
      <c r="K172" s="22" t="s">
        <v>405</v>
      </c>
      <c r="M172">
        <f t="shared" si="3"/>
        <v>250</v>
      </c>
    </row>
    <row r="173" spans="1:13" x14ac:dyDescent="0.35">
      <c r="A173" s="21" t="s">
        <v>237</v>
      </c>
      <c r="B173" s="25">
        <v>45391</v>
      </c>
      <c r="C173" s="7">
        <v>1011</v>
      </c>
      <c r="D173" s="7" t="s">
        <v>87</v>
      </c>
      <c r="E173" s="7" t="s">
        <v>82</v>
      </c>
      <c r="F173" s="7" t="s">
        <v>111</v>
      </c>
      <c r="G173" s="7" t="s">
        <v>108</v>
      </c>
      <c r="H173" s="7">
        <v>5</v>
      </c>
      <c r="I173" s="7">
        <v>500</v>
      </c>
      <c r="J173" s="14">
        <v>2500</v>
      </c>
      <c r="K173" s="22" t="s">
        <v>416</v>
      </c>
      <c r="M173">
        <f t="shared" si="3"/>
        <v>250</v>
      </c>
    </row>
    <row r="174" spans="1:13" x14ac:dyDescent="0.35">
      <c r="A174" s="21" t="s">
        <v>293</v>
      </c>
      <c r="B174" s="25">
        <v>45430</v>
      </c>
      <c r="C174" s="7">
        <v>1010</v>
      </c>
      <c r="D174" s="7" t="s">
        <v>86</v>
      </c>
      <c r="E174" s="7" t="s">
        <v>71</v>
      </c>
      <c r="F174" s="7" t="s">
        <v>111</v>
      </c>
      <c r="G174" s="7" t="s">
        <v>108</v>
      </c>
      <c r="H174" s="7">
        <v>5</v>
      </c>
      <c r="I174" s="7">
        <v>500</v>
      </c>
      <c r="J174" s="14">
        <v>2500</v>
      </c>
      <c r="K174" s="22" t="s">
        <v>405</v>
      </c>
      <c r="M174">
        <f t="shared" si="3"/>
        <v>250</v>
      </c>
    </row>
    <row r="175" spans="1:13" x14ac:dyDescent="0.35">
      <c r="A175" s="21" t="s">
        <v>271</v>
      </c>
      <c r="B175" s="25">
        <v>45352</v>
      </c>
      <c r="C175" s="7">
        <v>1008</v>
      </c>
      <c r="D175" s="7" t="s">
        <v>83</v>
      </c>
      <c r="E175" s="7" t="s">
        <v>82</v>
      </c>
      <c r="F175" s="7" t="s">
        <v>113</v>
      </c>
      <c r="G175" s="7" t="s">
        <v>108</v>
      </c>
      <c r="H175" s="7">
        <v>3</v>
      </c>
      <c r="I175" s="7">
        <v>800</v>
      </c>
      <c r="J175" s="14">
        <v>2400</v>
      </c>
      <c r="K175" s="22" t="s">
        <v>409</v>
      </c>
      <c r="M175">
        <f t="shared" si="3"/>
        <v>240</v>
      </c>
    </row>
    <row r="176" spans="1:13" x14ac:dyDescent="0.35">
      <c r="A176" s="21" t="s">
        <v>138</v>
      </c>
      <c r="B176" s="25">
        <v>45437</v>
      </c>
      <c r="C176" s="7">
        <v>1020</v>
      </c>
      <c r="D176" s="7" t="s">
        <v>96</v>
      </c>
      <c r="E176" s="7" t="s">
        <v>80</v>
      </c>
      <c r="F176" s="7" t="s">
        <v>111</v>
      </c>
      <c r="G176" s="7" t="s">
        <v>108</v>
      </c>
      <c r="H176" s="7">
        <v>4</v>
      </c>
      <c r="I176" s="7">
        <v>500</v>
      </c>
      <c r="J176" s="14">
        <v>2000</v>
      </c>
      <c r="K176" s="22" t="s">
        <v>400</v>
      </c>
      <c r="M176">
        <f t="shared" si="3"/>
        <v>200</v>
      </c>
    </row>
    <row r="177" spans="1:13" x14ac:dyDescent="0.35">
      <c r="A177" s="21" t="s">
        <v>208</v>
      </c>
      <c r="B177" s="25">
        <v>45344</v>
      </c>
      <c r="C177" s="7">
        <v>1020</v>
      </c>
      <c r="D177" s="7" t="s">
        <v>96</v>
      </c>
      <c r="E177" s="7" t="s">
        <v>80</v>
      </c>
      <c r="F177" s="7" t="s">
        <v>113</v>
      </c>
      <c r="G177" s="7" t="s">
        <v>108</v>
      </c>
      <c r="H177" s="7">
        <v>2</v>
      </c>
      <c r="I177" s="7">
        <v>800</v>
      </c>
      <c r="J177" s="14">
        <v>1600</v>
      </c>
      <c r="K177" s="22" t="s">
        <v>400</v>
      </c>
      <c r="M177">
        <f t="shared" si="3"/>
        <v>160</v>
      </c>
    </row>
    <row r="178" spans="1:13" x14ac:dyDescent="0.35">
      <c r="A178" s="21" t="s">
        <v>268</v>
      </c>
      <c r="B178" s="25">
        <v>45461</v>
      </c>
      <c r="C178" s="7">
        <v>1007</v>
      </c>
      <c r="D178" s="7" t="s">
        <v>81</v>
      </c>
      <c r="E178" s="7" t="s">
        <v>82</v>
      </c>
      <c r="F178" s="7" t="s">
        <v>113</v>
      </c>
      <c r="G178" s="7" t="s">
        <v>108</v>
      </c>
      <c r="H178" s="7">
        <v>2</v>
      </c>
      <c r="I178" s="7">
        <v>800</v>
      </c>
      <c r="J178" s="14">
        <v>1600</v>
      </c>
      <c r="K178" s="22" t="s">
        <v>404</v>
      </c>
      <c r="M178">
        <f t="shared" si="3"/>
        <v>160</v>
      </c>
    </row>
    <row r="179" spans="1:13" x14ac:dyDescent="0.35">
      <c r="A179" s="21" t="s">
        <v>253</v>
      </c>
      <c r="B179" s="25">
        <v>45460</v>
      </c>
      <c r="C179" s="7">
        <v>1005</v>
      </c>
      <c r="D179" s="7" t="s">
        <v>78</v>
      </c>
      <c r="E179" s="7" t="s">
        <v>71</v>
      </c>
      <c r="F179" s="7" t="s">
        <v>111</v>
      </c>
      <c r="G179" s="7" t="s">
        <v>108</v>
      </c>
      <c r="H179" s="7">
        <v>3</v>
      </c>
      <c r="I179" s="7">
        <v>500</v>
      </c>
      <c r="J179" s="14">
        <v>1500</v>
      </c>
      <c r="K179" s="22" t="s">
        <v>399</v>
      </c>
      <c r="M179">
        <f t="shared" si="3"/>
        <v>150</v>
      </c>
    </row>
    <row r="180" spans="1:13" x14ac:dyDescent="0.35">
      <c r="A180" s="21" t="s">
        <v>163</v>
      </c>
      <c r="B180" s="25">
        <v>45420</v>
      </c>
      <c r="C180" s="7">
        <v>1008</v>
      </c>
      <c r="D180" s="7" t="s">
        <v>83</v>
      </c>
      <c r="E180" s="7" t="s">
        <v>82</v>
      </c>
      <c r="F180" s="7" t="s">
        <v>111</v>
      </c>
      <c r="G180" s="7" t="s">
        <v>108</v>
      </c>
      <c r="H180" s="7">
        <v>2</v>
      </c>
      <c r="I180" s="7">
        <v>500</v>
      </c>
      <c r="J180" s="14">
        <v>1000</v>
      </c>
      <c r="K180" s="22" t="s">
        <v>409</v>
      </c>
      <c r="M180">
        <f t="shared" si="3"/>
        <v>100</v>
      </c>
    </row>
    <row r="181" spans="1:13" x14ac:dyDescent="0.35">
      <c r="A181" s="21" t="s">
        <v>289</v>
      </c>
      <c r="B181" s="25">
        <v>45420</v>
      </c>
      <c r="C181" s="7">
        <v>1007</v>
      </c>
      <c r="D181" s="7" t="s">
        <v>81</v>
      </c>
      <c r="E181" s="7" t="s">
        <v>82</v>
      </c>
      <c r="F181" s="7" t="s">
        <v>111</v>
      </c>
      <c r="G181" s="7" t="s">
        <v>108</v>
      </c>
      <c r="H181" s="7">
        <v>2</v>
      </c>
      <c r="I181" s="7">
        <v>500</v>
      </c>
      <c r="J181" s="14">
        <v>1000</v>
      </c>
      <c r="K181" s="22" t="s">
        <v>404</v>
      </c>
      <c r="M181">
        <f t="shared" si="3"/>
        <v>100</v>
      </c>
    </row>
    <row r="182" spans="1:13" x14ac:dyDescent="0.35">
      <c r="A182" s="21" t="s">
        <v>160</v>
      </c>
      <c r="B182" s="25">
        <v>45310</v>
      </c>
      <c r="C182" s="7">
        <v>1002</v>
      </c>
      <c r="D182" s="7" t="s">
        <v>73</v>
      </c>
      <c r="E182" s="7" t="s">
        <v>74</v>
      </c>
      <c r="F182" s="7" t="s">
        <v>113</v>
      </c>
      <c r="G182" s="7" t="s">
        <v>108</v>
      </c>
      <c r="H182" s="7">
        <v>1</v>
      </c>
      <c r="I182" s="7">
        <v>800</v>
      </c>
      <c r="J182" s="14">
        <v>800</v>
      </c>
      <c r="K182" s="22" t="s">
        <v>410</v>
      </c>
      <c r="M182">
        <f t="shared" si="3"/>
        <v>80</v>
      </c>
    </row>
    <row r="183" spans="1:13" x14ac:dyDescent="0.35">
      <c r="A183" s="21" t="s">
        <v>193</v>
      </c>
      <c r="B183" s="25">
        <v>45300</v>
      </c>
      <c r="C183" s="7">
        <v>1013</v>
      </c>
      <c r="D183" s="7" t="s">
        <v>89</v>
      </c>
      <c r="E183" s="7" t="s">
        <v>82</v>
      </c>
      <c r="F183" s="7" t="s">
        <v>113</v>
      </c>
      <c r="G183" s="7" t="s">
        <v>108</v>
      </c>
      <c r="H183" s="7">
        <v>1</v>
      </c>
      <c r="I183" s="7">
        <v>800</v>
      </c>
      <c r="J183" s="14">
        <v>800</v>
      </c>
      <c r="K183" s="24" t="s">
        <v>408</v>
      </c>
      <c r="M183">
        <f t="shared" si="3"/>
        <v>80</v>
      </c>
    </row>
  </sheetData>
  <sortState xmlns:xlrd2="http://schemas.microsoft.com/office/spreadsheetml/2017/richdata2" ref="A4:J183">
    <sortCondition descending="1" ref="J12:J183"/>
  </sortState>
  <mergeCells count="1">
    <mergeCell ref="A1:J1"/>
  </mergeCells>
  <conditionalFormatting sqref="H3:H183">
    <cfRule type="cellIs" dxfId="1" priority="1" operator="lessThan">
      <formula>3</formula>
    </cfRule>
  </conditionalFormatting>
  <conditionalFormatting sqref="J3:J183">
    <cfRule type="cellIs" dxfId="0" priority="2" operator="greaterThan">
      <formula>50000</formula>
    </cfRule>
  </conditionalFormatting>
  <dataValidations count="1">
    <dataValidation type="list" allowBlank="1" showInputMessage="1" showErrorMessage="1" sqref="N4:N183" xr:uid="{B34D3471-B167-4494-90C2-9B485C2C7730}">
      <formula1>"Pending,Completed,Cancelled"</formula1>
    </dataValidation>
  </dataValidations>
  <pageMargins left="0.75" right="0.75" top="1" bottom="1" header="0.511811023622047" footer="0.511811023622047"/>
  <pageSetup paperSize="9" orientation="portrait" horizontalDpi="300" verticalDpi="30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5"/>
  <sheetViews>
    <sheetView showGridLines="0" topLeftCell="A12" zoomScale="85" zoomScaleNormal="85" workbookViewId="0">
      <selection activeCell="B26" sqref="B26"/>
    </sheetView>
  </sheetViews>
  <sheetFormatPr defaultColWidth="8.6328125" defaultRowHeight="14.5" x14ac:dyDescent="0.35"/>
  <cols>
    <col min="1" max="1" width="95" customWidth="1"/>
    <col min="2" max="2" width="20" customWidth="1"/>
  </cols>
  <sheetData>
    <row r="1" spans="1:6" ht="18" x14ac:dyDescent="0.35">
      <c r="A1" s="40" t="s">
        <v>296</v>
      </c>
      <c r="B1" s="40"/>
      <c r="C1" s="40"/>
      <c r="D1" s="40"/>
      <c r="E1" s="40"/>
      <c r="F1" s="40"/>
    </row>
    <row r="3" spans="1:6" ht="15.5" x14ac:dyDescent="0.35">
      <c r="A3" s="41" t="s">
        <v>297</v>
      </c>
      <c r="B3" s="41"/>
      <c r="C3" s="41"/>
      <c r="D3" s="41"/>
      <c r="E3" s="41"/>
      <c r="F3" s="41"/>
    </row>
    <row r="4" spans="1:6" x14ac:dyDescent="0.35">
      <c r="A4" s="1" t="s">
        <v>298</v>
      </c>
    </row>
    <row r="5" spans="1:6" x14ac:dyDescent="0.35">
      <c r="A5" s="1" t="s">
        <v>299</v>
      </c>
    </row>
    <row r="6" spans="1:6" x14ac:dyDescent="0.35">
      <c r="A6" s="1" t="s">
        <v>300</v>
      </c>
    </row>
    <row r="7" spans="1:6" x14ac:dyDescent="0.35">
      <c r="A7" s="1" t="s">
        <v>301</v>
      </c>
    </row>
    <row r="8" spans="1:6" x14ac:dyDescent="0.35">
      <c r="A8" s="1" t="s">
        <v>302</v>
      </c>
    </row>
    <row r="9" spans="1:6" x14ac:dyDescent="0.35">
      <c r="A9" s="1" t="s">
        <v>303</v>
      </c>
    </row>
    <row r="10" spans="1:6" x14ac:dyDescent="0.35">
      <c r="A10" s="1"/>
    </row>
    <row r="11" spans="1:6" x14ac:dyDescent="0.35">
      <c r="A11" s="1" t="s">
        <v>304</v>
      </c>
    </row>
    <row r="12" spans="1:6" x14ac:dyDescent="0.35">
      <c r="A12" s="1" t="s">
        <v>305</v>
      </c>
    </row>
    <row r="13" spans="1:6" x14ac:dyDescent="0.35">
      <c r="A13" s="1" t="s">
        <v>306</v>
      </c>
    </row>
    <row r="14" spans="1:6" x14ac:dyDescent="0.35">
      <c r="A14" s="1" t="s">
        <v>307</v>
      </c>
    </row>
    <row r="15" spans="1:6" x14ac:dyDescent="0.35">
      <c r="A15" s="1" t="s">
        <v>308</v>
      </c>
    </row>
    <row r="20" spans="1:2" x14ac:dyDescent="0.35">
      <c r="A20" s="8" t="s">
        <v>309</v>
      </c>
      <c r="B20" s="27">
        <f>SUM(Table1[SalesAmount])</f>
        <v>18080600</v>
      </c>
    </row>
    <row r="21" spans="1:2" x14ac:dyDescent="0.35">
      <c r="A21" s="8" t="s">
        <v>310</v>
      </c>
      <c r="B21" s="9">
        <f>AVERAGE(Table1[SalesAmount])</f>
        <v>100447.77777777778</v>
      </c>
    </row>
    <row r="22" spans="1:2" x14ac:dyDescent="0.35">
      <c r="A22" s="8" t="s">
        <v>311</v>
      </c>
      <c r="B22" s="9">
        <f>COUNTA(Table1[SalesAmount])</f>
        <v>180</v>
      </c>
    </row>
    <row r="23" spans="1:2" x14ac:dyDescent="0.35">
      <c r="A23" s="8" t="s">
        <v>312</v>
      </c>
      <c r="B23" s="9">
        <f>MAX(Table1[SalesAmount])</f>
        <v>825000</v>
      </c>
    </row>
    <row r="24" spans="1:2" x14ac:dyDescent="0.35">
      <c r="A24" s="8" t="s">
        <v>313</v>
      </c>
      <c r="B24" s="9">
        <f>MIN(Table1[SalesAmount])</f>
        <v>800</v>
      </c>
    </row>
    <row r="25" spans="1:2" x14ac:dyDescent="0.35">
      <c r="A25" s="8" t="s">
        <v>314</v>
      </c>
      <c r="B25" s="9">
        <f>SUM(Table1[Units])</f>
        <v>1319</v>
      </c>
    </row>
  </sheetData>
  <mergeCells count="2">
    <mergeCell ref="A1:F1"/>
    <mergeCell ref="A3:F3"/>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8"/>
  <sheetViews>
    <sheetView showGridLines="0" zoomScaleNormal="100" workbookViewId="0">
      <selection activeCell="B3" sqref="B3"/>
    </sheetView>
  </sheetViews>
  <sheetFormatPr defaultColWidth="8.6328125" defaultRowHeight="14.5" x14ac:dyDescent="0.35"/>
  <cols>
    <col min="1" max="1" width="25" customWidth="1"/>
    <col min="2" max="2" width="20" customWidth="1"/>
  </cols>
  <sheetData>
    <row r="1" spans="1:6" ht="18" x14ac:dyDescent="0.35">
      <c r="A1" s="40" t="s">
        <v>315</v>
      </c>
      <c r="B1" s="40"/>
      <c r="C1" s="40"/>
      <c r="D1" s="40"/>
      <c r="E1" s="40"/>
      <c r="F1" s="40"/>
    </row>
    <row r="3" spans="1:6" x14ac:dyDescent="0.35">
      <c r="A3" s="8" t="s">
        <v>309</v>
      </c>
      <c r="B3" s="10">
        <f>SUM(Sales_Data!J4:J183)</f>
        <v>18080600</v>
      </c>
    </row>
    <row r="4" spans="1:6" x14ac:dyDescent="0.35">
      <c r="A4" s="8" t="s">
        <v>310</v>
      </c>
      <c r="B4" s="10">
        <f>AVERAGE(Sales_Data!J4:J183)</f>
        <v>100447.77777777778</v>
      </c>
    </row>
    <row r="5" spans="1:6" x14ac:dyDescent="0.35">
      <c r="A5" s="8" t="s">
        <v>311</v>
      </c>
      <c r="B5" s="10">
        <f>COUNTA(Sales_Data!A4:A183)</f>
        <v>180</v>
      </c>
    </row>
    <row r="6" spans="1:6" x14ac:dyDescent="0.35">
      <c r="A6" s="8" t="s">
        <v>312</v>
      </c>
      <c r="B6" s="10">
        <f>MAX(Sales_Data!J4:J183)</f>
        <v>825000</v>
      </c>
    </row>
    <row r="7" spans="1:6" x14ac:dyDescent="0.35">
      <c r="A7" s="8" t="s">
        <v>313</v>
      </c>
      <c r="B7" s="10">
        <f>MIN(Sales_Data!J4:J183)</f>
        <v>800</v>
      </c>
    </row>
    <row r="8" spans="1:6" x14ac:dyDescent="0.35">
      <c r="A8" s="8" t="s">
        <v>314</v>
      </c>
      <c r="B8" s="10">
        <f>SUM(Sales_Data!H4:H183)</f>
        <v>1319</v>
      </c>
    </row>
  </sheetData>
  <mergeCells count="1">
    <mergeCell ref="A1:F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0"/>
  <sheetViews>
    <sheetView showGridLines="0" zoomScale="65" zoomScaleNormal="100" workbookViewId="0">
      <selection activeCell="B30" sqref="B30"/>
    </sheetView>
  </sheetViews>
  <sheetFormatPr defaultColWidth="8.6328125" defaultRowHeight="14.5" x14ac:dyDescent="0.35"/>
  <cols>
    <col min="1" max="1" width="95" customWidth="1"/>
    <col min="2" max="2" width="22" customWidth="1"/>
  </cols>
  <sheetData>
    <row r="1" spans="1:6" ht="18" x14ac:dyDescent="0.35">
      <c r="A1" s="40" t="s">
        <v>316</v>
      </c>
      <c r="B1" s="40"/>
      <c r="C1" s="40"/>
      <c r="D1" s="40"/>
      <c r="E1" s="40"/>
      <c r="F1" s="40"/>
    </row>
    <row r="3" spans="1:6" ht="15.5" x14ac:dyDescent="0.35">
      <c r="A3" s="41" t="s">
        <v>317</v>
      </c>
      <c r="B3" s="41"/>
      <c r="C3" s="41"/>
      <c r="D3" s="41"/>
      <c r="E3" s="41"/>
      <c r="F3" s="41"/>
    </row>
    <row r="4" spans="1:6" x14ac:dyDescent="0.35">
      <c r="A4" s="1" t="s">
        <v>318</v>
      </c>
    </row>
    <row r="5" spans="1:6" x14ac:dyDescent="0.35">
      <c r="A5" s="1" t="s">
        <v>319</v>
      </c>
    </row>
    <row r="6" spans="1:6" x14ac:dyDescent="0.35">
      <c r="A6" s="1" t="s">
        <v>320</v>
      </c>
    </row>
    <row r="7" spans="1:6" x14ac:dyDescent="0.35">
      <c r="A7" s="1" t="s">
        <v>321</v>
      </c>
    </row>
    <row r="8" spans="1:6" x14ac:dyDescent="0.35">
      <c r="A8" s="1" t="s">
        <v>322</v>
      </c>
    </row>
    <row r="9" spans="1:6" x14ac:dyDescent="0.35">
      <c r="A9" s="1"/>
    </row>
    <row r="10" spans="1:6" x14ac:dyDescent="0.35">
      <c r="A10" s="1" t="s">
        <v>323</v>
      </c>
    </row>
    <row r="11" spans="1:6" x14ac:dyDescent="0.35">
      <c r="A11" s="1" t="s">
        <v>324</v>
      </c>
    </row>
    <row r="12" spans="1:6" x14ac:dyDescent="0.35">
      <c r="A12" s="1" t="s">
        <v>325</v>
      </c>
    </row>
    <row r="13" spans="1:6" x14ac:dyDescent="0.35">
      <c r="A13" s="1" t="s">
        <v>326</v>
      </c>
    </row>
    <row r="14" spans="1:6" x14ac:dyDescent="0.35">
      <c r="A14" s="1"/>
    </row>
    <row r="15" spans="1:6" x14ac:dyDescent="0.35">
      <c r="A15" s="1" t="s">
        <v>327</v>
      </c>
    </row>
    <row r="22" spans="1:2" x14ac:dyDescent="0.35">
      <c r="A22" s="8" t="s">
        <v>328</v>
      </c>
      <c r="B22" s="11" t="str">
        <f>IF(Day1_Answers!B3&gt;5000000,"Good","NeedsImprovement")</f>
        <v>Good</v>
      </c>
    </row>
    <row r="23" spans="1:2" x14ac:dyDescent="0.35">
      <c r="A23" s="8" t="s">
        <v>329</v>
      </c>
      <c r="B23" s="11">
        <f>COUNTIF(Sales_Data!F4:F183,"Laptop")</f>
        <v>20</v>
      </c>
    </row>
    <row r="24" spans="1:2" x14ac:dyDescent="0.35">
      <c r="A24" s="8" t="s">
        <v>330</v>
      </c>
      <c r="B24" s="11">
        <f>SUMIF(Table1[Region], "North",Table1[SalesAmount])</f>
        <v>6519000</v>
      </c>
    </row>
    <row r="25" spans="1:2" x14ac:dyDescent="0.35">
      <c r="A25" s="8" t="s">
        <v>331</v>
      </c>
      <c r="B25" s="11">
        <f>COUNTIFS(Sales_Data!G4:G183,"Electronics",Table1[Region],"North")</f>
        <v>43</v>
      </c>
    </row>
    <row r="26" spans="1:2" x14ac:dyDescent="0.35">
      <c r="A26" s="8" t="s">
        <v>332</v>
      </c>
      <c r="B26" s="11">
        <f>SUMIFS(Table1[SalesAmount],Table1[Product],"Mobile",Table1[Region],"South")</f>
        <v>252000</v>
      </c>
    </row>
    <row r="28" spans="1:2" x14ac:dyDescent="0.35">
      <c r="A28" s="8" t="s">
        <v>333</v>
      </c>
      <c r="B28" s="11" t="str">
        <f>VLOOKUP(Employee_Master!A8,Employee_Master!A4:E23,2,FALSE)</f>
        <v>Vikas Singh</v>
      </c>
    </row>
    <row r="29" spans="1:2" x14ac:dyDescent="0.35">
      <c r="A29" s="8" t="s">
        <v>334</v>
      </c>
      <c r="B29" s="11" t="str">
        <f>VLOOKUP(Employee_Master!A8,Employee_Master!A3:E23,4,FALSE)</f>
        <v>Support</v>
      </c>
    </row>
    <row r="30" spans="1:2" x14ac:dyDescent="0.35">
      <c r="A30" s="8" t="s">
        <v>335</v>
      </c>
      <c r="B30" s="11" t="str">
        <f>INDEX(Employee_Master!C4:C23,MATCH(Employee_Master!A8,Employee_Master!A4:A23,0))</f>
        <v>North</v>
      </c>
    </row>
  </sheetData>
  <mergeCells count="2">
    <mergeCell ref="A1:F1"/>
    <mergeCell ref="A3:F3"/>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1"/>
  <sheetViews>
    <sheetView showGridLines="0" zoomScaleNormal="100" workbookViewId="0">
      <selection sqref="A1:F1"/>
    </sheetView>
  </sheetViews>
  <sheetFormatPr defaultColWidth="8.6328125" defaultRowHeight="14.5" x14ac:dyDescent="0.35"/>
  <cols>
    <col min="1" max="1" width="38" customWidth="1"/>
    <col min="2" max="2" width="22" customWidth="1"/>
  </cols>
  <sheetData>
    <row r="1" spans="1:6" ht="18" x14ac:dyDescent="0.35">
      <c r="A1" s="40" t="s">
        <v>336</v>
      </c>
      <c r="B1" s="40"/>
      <c r="C1" s="40"/>
      <c r="D1" s="40"/>
      <c r="E1" s="40"/>
      <c r="F1" s="40"/>
    </row>
    <row r="3" spans="1:6" x14ac:dyDescent="0.35">
      <c r="A3" s="8" t="s">
        <v>328</v>
      </c>
      <c r="B3" s="10" t="str">
        <f>IF(Day1_Answers!B3&gt;5000000,"Good","Needs Improvement")</f>
        <v>Good</v>
      </c>
    </row>
    <row r="4" spans="1:6" x14ac:dyDescent="0.35">
      <c r="A4" s="8" t="s">
        <v>329</v>
      </c>
      <c r="B4" s="10">
        <f>COUNTIF(Sales_Data!F4:F183,"Laptop")</f>
        <v>20</v>
      </c>
    </row>
    <row r="5" spans="1:6" x14ac:dyDescent="0.35">
      <c r="A5" s="8" t="s">
        <v>330</v>
      </c>
      <c r="B5" s="10">
        <f>SUMIF(Sales_Data!E4:E183,"North",Sales_Data!J4:J183)</f>
        <v>6519000</v>
      </c>
    </row>
    <row r="6" spans="1:6" x14ac:dyDescent="0.35">
      <c r="A6" s="8" t="s">
        <v>331</v>
      </c>
      <c r="B6" s="10">
        <f>COUNTIFS(Sales_Data!G4:G183,"Electronics",Sales_Data!E4:E183,"North")</f>
        <v>43</v>
      </c>
    </row>
    <row r="7" spans="1:6" x14ac:dyDescent="0.35">
      <c r="A7" s="8" t="s">
        <v>332</v>
      </c>
      <c r="B7" s="10">
        <f>SUMIFS(Sales_Data!J4:J183,Sales_Data!F4:F183,"Mobile",Sales_Data!E4:E183,"South")</f>
        <v>252000</v>
      </c>
    </row>
    <row r="9" spans="1:6" x14ac:dyDescent="0.35">
      <c r="A9" s="8" t="s">
        <v>333</v>
      </c>
      <c r="B9" s="10" t="str">
        <f>VLOOKUP(1005,Employee_Master!A4:E23,2,FALSE())</f>
        <v>Vikas Singh</v>
      </c>
    </row>
    <row r="10" spans="1:6" x14ac:dyDescent="0.35">
      <c r="A10" s="8" t="s">
        <v>334</v>
      </c>
      <c r="B10" s="10" t="str">
        <f>VLOOKUP(1005,Employee_Master!A4:E23,4,FALSE())</f>
        <v>Support</v>
      </c>
    </row>
    <row r="11" spans="1:6" x14ac:dyDescent="0.35">
      <c r="A11" s="8" t="s">
        <v>335</v>
      </c>
      <c r="B11" s="10" t="str">
        <f>INDEX(Employee_Master!C4:C23,MATCH(1005,Employee_Master!A4:A23,0))</f>
        <v>North</v>
      </c>
    </row>
  </sheetData>
  <mergeCells count="1">
    <mergeCell ref="A1:F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2"/>
  <sheetViews>
    <sheetView showGridLines="0" topLeftCell="A9" zoomScale="101" zoomScaleNormal="100" workbookViewId="0">
      <selection activeCell="B22" sqref="B22"/>
    </sheetView>
  </sheetViews>
  <sheetFormatPr defaultColWidth="8.6328125" defaultRowHeight="14.5" x14ac:dyDescent="0.35"/>
  <cols>
    <col min="1" max="1" width="95" customWidth="1"/>
    <col min="2" max="2" width="25" customWidth="1"/>
  </cols>
  <sheetData>
    <row r="1" spans="1:6" ht="18" x14ac:dyDescent="0.35">
      <c r="A1" s="40" t="s">
        <v>337</v>
      </c>
      <c r="B1" s="40"/>
      <c r="C1" s="40"/>
      <c r="D1" s="40"/>
      <c r="E1" s="40"/>
      <c r="F1" s="40"/>
    </row>
    <row r="3" spans="1:6" ht="15.5" x14ac:dyDescent="0.35">
      <c r="A3" s="41" t="s">
        <v>338</v>
      </c>
      <c r="B3" s="41"/>
      <c r="C3" s="41"/>
      <c r="D3" s="41"/>
      <c r="E3" s="41"/>
      <c r="F3" s="41"/>
    </row>
    <row r="4" spans="1:6" x14ac:dyDescent="0.35">
      <c r="A4" s="1" t="s">
        <v>339</v>
      </c>
    </row>
    <row r="5" spans="1:6" x14ac:dyDescent="0.35">
      <c r="A5" s="1" t="s">
        <v>340</v>
      </c>
    </row>
    <row r="6" spans="1:6" x14ac:dyDescent="0.35">
      <c r="A6" s="1" t="s">
        <v>341</v>
      </c>
    </row>
    <row r="7" spans="1:6" x14ac:dyDescent="0.35">
      <c r="A7" s="1" t="s">
        <v>342</v>
      </c>
    </row>
    <row r="8" spans="1:6" x14ac:dyDescent="0.35">
      <c r="A8" s="1" t="s">
        <v>343</v>
      </c>
    </row>
    <row r="9" spans="1:6" x14ac:dyDescent="0.35">
      <c r="A9" s="1"/>
    </row>
    <row r="10" spans="1:6" x14ac:dyDescent="0.35">
      <c r="A10" s="1" t="s">
        <v>344</v>
      </c>
    </row>
    <row r="11" spans="1:6" x14ac:dyDescent="0.35">
      <c r="A11" s="1" t="s">
        <v>345</v>
      </c>
    </row>
    <row r="12" spans="1:6" x14ac:dyDescent="0.35">
      <c r="A12" s="1"/>
    </row>
    <row r="13" spans="1:6" x14ac:dyDescent="0.35">
      <c r="A13" s="1" t="s">
        <v>346</v>
      </c>
    </row>
    <row r="14" spans="1:6" x14ac:dyDescent="0.35">
      <c r="A14" s="1" t="s">
        <v>347</v>
      </c>
    </row>
    <row r="15" spans="1:6" x14ac:dyDescent="0.35">
      <c r="A15" s="1" t="s">
        <v>348</v>
      </c>
    </row>
    <row r="18" spans="1:2" x14ac:dyDescent="0.35">
      <c r="A18" s="8" t="s">
        <v>349</v>
      </c>
      <c r="B18" s="11" t="str">
        <f>LEFT(Employee_Master!B4,FIND(" ",Employee_Master!B4)-1)</f>
        <v>Rohit</v>
      </c>
    </row>
    <row r="19" spans="1:2" x14ac:dyDescent="0.35">
      <c r="A19" s="8" t="s">
        <v>350</v>
      </c>
      <c r="B19" s="11" t="str">
        <f>RIGHT(Employee_Master!B5,LEN(Employee_Master!B5)-FIND(" ",Employee_Master!B5))</f>
        <v>Singh</v>
      </c>
    </row>
    <row r="20" spans="1:2" x14ac:dyDescent="0.35">
      <c r="A20" s="8" t="s">
        <v>351</v>
      </c>
      <c r="B20" s="11" t="str">
        <f>"Total Employees:"&amp;COUNTA(Employee_Master!A4:A23)</f>
        <v>Total Employees:20</v>
      </c>
    </row>
    <row r="21" spans="1:2" x14ac:dyDescent="0.35">
      <c r="A21" s="8" t="s">
        <v>352</v>
      </c>
      <c r="B21" s="11">
        <f>MONTH(Sales_Data!B4)</f>
        <v>1</v>
      </c>
    </row>
    <row r="22" spans="1:2" x14ac:dyDescent="0.35">
      <c r="A22" s="8" t="s">
        <v>353</v>
      </c>
      <c r="B22" s="26">
        <f ca="1">TODAY()-Sales_Data!B4</f>
        <v>921</v>
      </c>
    </row>
  </sheetData>
  <mergeCells count="2">
    <mergeCell ref="A1:F1"/>
    <mergeCell ref="A3:F3"/>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3"/>
  <sheetViews>
    <sheetView showGridLines="0" zoomScaleNormal="100" workbookViewId="0">
      <selection sqref="A1:F1"/>
    </sheetView>
  </sheetViews>
  <sheetFormatPr defaultColWidth="8.6328125" defaultRowHeight="14.5" x14ac:dyDescent="0.35"/>
  <cols>
    <col min="1" max="1" width="45" customWidth="1"/>
    <col min="2" max="2" width="30" customWidth="1"/>
  </cols>
  <sheetData>
    <row r="1" spans="1:6" ht="18" x14ac:dyDescent="0.35">
      <c r="A1" s="40" t="s">
        <v>354</v>
      </c>
      <c r="B1" s="40"/>
      <c r="C1" s="40"/>
      <c r="D1" s="40"/>
      <c r="E1" s="40"/>
      <c r="F1" s="40"/>
    </row>
    <row r="3" spans="1:6" x14ac:dyDescent="0.35">
      <c r="A3" s="8" t="s">
        <v>349</v>
      </c>
      <c r="B3" s="10" t="str">
        <f>LEFT(Employee_Master!B4,FIND(" ",Employee_Master!B4)-1)</f>
        <v>Rohit</v>
      </c>
    </row>
    <row r="4" spans="1:6" x14ac:dyDescent="0.35">
      <c r="A4" s="8" t="s">
        <v>350</v>
      </c>
      <c r="B4" s="10" t="str">
        <f>RIGHT(Employee_Master!B4,LEN(Employee_Master!B4)-FIND(" ",Employee_Master!B4))</f>
        <v>Verma</v>
      </c>
    </row>
    <row r="5" spans="1:6" x14ac:dyDescent="0.35">
      <c r="A5" s="8" t="s">
        <v>351</v>
      </c>
      <c r="B5" s="10" t="str">
        <f>"Total Employees: "&amp;COUNTA(Employee_Master!A4:A23)</f>
        <v>Total Employees: 20</v>
      </c>
    </row>
    <row r="6" spans="1:6" x14ac:dyDescent="0.35">
      <c r="A6" s="8" t="s">
        <v>352</v>
      </c>
      <c r="B6" s="10">
        <f>MONTH(Sales_Data!B4)</f>
        <v>1</v>
      </c>
    </row>
    <row r="7" spans="1:6" x14ac:dyDescent="0.35">
      <c r="A7" s="8" t="s">
        <v>353</v>
      </c>
      <c r="B7" s="10">
        <f ca="1">TODAY()-Sales_Data!B4</f>
        <v>921</v>
      </c>
    </row>
    <row r="9" spans="1:6" x14ac:dyDescent="0.35">
      <c r="A9" s="12"/>
    </row>
    <row r="10" spans="1:6" x14ac:dyDescent="0.35">
      <c r="A10" s="12" t="s">
        <v>355</v>
      </c>
    </row>
    <row r="11" spans="1:6" x14ac:dyDescent="0.35">
      <c r="A11" s="12" t="s">
        <v>356</v>
      </c>
    </row>
    <row r="12" spans="1:6" x14ac:dyDescent="0.35">
      <c r="A12" s="12" t="s">
        <v>357</v>
      </c>
    </row>
    <row r="13" spans="1:6" x14ac:dyDescent="0.35">
      <c r="A13" s="12" t="s">
        <v>358</v>
      </c>
    </row>
  </sheetData>
  <mergeCells count="1">
    <mergeCell ref="A1:F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
  <sheetViews>
    <sheetView showGridLines="0" zoomScaleNormal="100" workbookViewId="0">
      <selection activeCell="F7" sqref="F7"/>
    </sheetView>
  </sheetViews>
  <sheetFormatPr defaultColWidth="8.6328125" defaultRowHeight="14.5" x14ac:dyDescent="0.35"/>
  <cols>
    <col min="1" max="1" width="100" customWidth="1"/>
  </cols>
  <sheetData>
    <row r="1" spans="1:6" ht="18" x14ac:dyDescent="0.35">
      <c r="A1" s="40" t="s">
        <v>359</v>
      </c>
      <c r="B1" s="40"/>
      <c r="C1" s="40"/>
      <c r="D1" s="40"/>
      <c r="E1" s="40"/>
      <c r="F1" s="40"/>
    </row>
    <row r="3" spans="1:6" x14ac:dyDescent="0.35">
      <c r="A3" s="42" t="s">
        <v>360</v>
      </c>
      <c r="B3" s="42"/>
      <c r="C3" s="42"/>
      <c r="D3" s="42"/>
      <c r="E3" s="42"/>
      <c r="F3" s="42"/>
    </row>
    <row r="4" spans="1:6" x14ac:dyDescent="0.35">
      <c r="A4" s="1"/>
    </row>
    <row r="5" spans="1:6" x14ac:dyDescent="0.35">
      <c r="A5" s="13" t="s">
        <v>361</v>
      </c>
    </row>
    <row r="6" spans="1:6" x14ac:dyDescent="0.35">
      <c r="A6" s="1" t="s">
        <v>362</v>
      </c>
    </row>
    <row r="7" spans="1:6" x14ac:dyDescent="0.35">
      <c r="A7" s="1" t="s">
        <v>363</v>
      </c>
    </row>
    <row r="8" spans="1:6" x14ac:dyDescent="0.35">
      <c r="A8" s="1"/>
    </row>
    <row r="9" spans="1:6" x14ac:dyDescent="0.35">
      <c r="A9" s="13" t="s">
        <v>364</v>
      </c>
    </row>
    <row r="10" spans="1:6" x14ac:dyDescent="0.35">
      <c r="A10" s="1" t="s">
        <v>365</v>
      </c>
    </row>
    <row r="11" spans="1:6" x14ac:dyDescent="0.35">
      <c r="A11" s="1" t="s">
        <v>366</v>
      </c>
    </row>
    <row r="12" spans="1:6" x14ac:dyDescent="0.35">
      <c r="A12" s="1"/>
    </row>
    <row r="13" spans="1:6" x14ac:dyDescent="0.35">
      <c r="A13" s="13" t="s">
        <v>367</v>
      </c>
    </row>
    <row r="14" spans="1:6" x14ac:dyDescent="0.35">
      <c r="A14" s="1" t="s">
        <v>368</v>
      </c>
    </row>
    <row r="15" spans="1:6" x14ac:dyDescent="0.35">
      <c r="A15" s="1" t="s">
        <v>369</v>
      </c>
    </row>
    <row r="16" spans="1:6" x14ac:dyDescent="0.35">
      <c r="A16" s="1"/>
    </row>
    <row r="17" spans="1:1" x14ac:dyDescent="0.35">
      <c r="A17" s="13" t="s">
        <v>370</v>
      </c>
    </row>
    <row r="18" spans="1:1" x14ac:dyDescent="0.35">
      <c r="A18" s="1" t="s">
        <v>371</v>
      </c>
    </row>
    <row r="19" spans="1:1" x14ac:dyDescent="0.35">
      <c r="A19" s="1" t="s">
        <v>372</v>
      </c>
    </row>
    <row r="20" spans="1:1" x14ac:dyDescent="0.35">
      <c r="A20" s="1" t="s">
        <v>373</v>
      </c>
    </row>
    <row r="21" spans="1:1" x14ac:dyDescent="0.35">
      <c r="A21" s="1"/>
    </row>
    <row r="22" spans="1:1" x14ac:dyDescent="0.35">
      <c r="A22" s="13" t="s">
        <v>374</v>
      </c>
    </row>
    <row r="23" spans="1:1" x14ac:dyDescent="0.35">
      <c r="A23" s="1" t="s">
        <v>375</v>
      </c>
    </row>
    <row r="24" spans="1:1" x14ac:dyDescent="0.35">
      <c r="A24" s="1" t="s">
        <v>376</v>
      </c>
    </row>
    <row r="25" spans="1:1" x14ac:dyDescent="0.35">
      <c r="A25" s="1"/>
    </row>
    <row r="26" spans="1:1" x14ac:dyDescent="0.35">
      <c r="A26" s="1" t="s">
        <v>377</v>
      </c>
    </row>
    <row r="27" spans="1:1" x14ac:dyDescent="0.35">
      <c r="A27" s="1" t="s">
        <v>378</v>
      </c>
    </row>
    <row r="28" spans="1:1" x14ac:dyDescent="0.35">
      <c r="A28" s="1" t="s">
        <v>379</v>
      </c>
    </row>
  </sheetData>
  <mergeCells count="2">
    <mergeCell ref="A1:F1"/>
    <mergeCell ref="A3:F3"/>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2"/>
  <sheetViews>
    <sheetView showGridLines="0" zoomScaleNormal="100" workbookViewId="0">
      <selection sqref="A1:F1"/>
    </sheetView>
  </sheetViews>
  <sheetFormatPr defaultColWidth="8.6328125" defaultRowHeight="14.5" x14ac:dyDescent="0.35"/>
  <cols>
    <col min="1" max="1" width="100" customWidth="1"/>
  </cols>
  <sheetData>
    <row r="1" spans="1:6" ht="18" x14ac:dyDescent="0.35">
      <c r="A1" s="40" t="s">
        <v>380</v>
      </c>
      <c r="B1" s="40"/>
      <c r="C1" s="40"/>
      <c r="D1" s="40"/>
      <c r="E1" s="40"/>
      <c r="F1" s="40"/>
    </row>
    <row r="3" spans="1:6" x14ac:dyDescent="0.35">
      <c r="A3" s="42" t="s">
        <v>381</v>
      </c>
      <c r="B3" s="42"/>
      <c r="C3" s="42"/>
      <c r="D3" s="42"/>
      <c r="E3" s="42"/>
      <c r="F3" s="42"/>
    </row>
    <row r="4" spans="1:6" x14ac:dyDescent="0.35">
      <c r="A4" s="1"/>
    </row>
    <row r="5" spans="1:6" x14ac:dyDescent="0.35">
      <c r="A5" s="13" t="s">
        <v>382</v>
      </c>
    </row>
    <row r="6" spans="1:6" x14ac:dyDescent="0.35">
      <c r="A6" s="13" t="s">
        <v>383</v>
      </c>
    </row>
    <row r="7" spans="1:6" x14ac:dyDescent="0.35">
      <c r="A7" s="1" t="s">
        <v>384</v>
      </c>
    </row>
    <row r="8" spans="1:6" x14ac:dyDescent="0.35">
      <c r="A8" s="13" t="s">
        <v>385</v>
      </c>
    </row>
    <row r="9" spans="1:6" x14ac:dyDescent="0.35">
      <c r="A9" s="1" t="s">
        <v>386</v>
      </c>
    </row>
    <row r="10" spans="1:6" x14ac:dyDescent="0.35">
      <c r="A10" s="1" t="s">
        <v>387</v>
      </c>
    </row>
    <row r="11" spans="1:6" x14ac:dyDescent="0.35">
      <c r="A11" s="1" t="s">
        <v>388</v>
      </c>
    </row>
    <row r="12" spans="1:6" x14ac:dyDescent="0.35">
      <c r="A12" s="13" t="s">
        <v>389</v>
      </c>
    </row>
    <row r="13" spans="1:6" x14ac:dyDescent="0.35">
      <c r="A13" s="13" t="s">
        <v>390</v>
      </c>
    </row>
    <row r="14" spans="1:6" x14ac:dyDescent="0.35">
      <c r="A14" s="13" t="s">
        <v>391</v>
      </c>
    </row>
    <row r="15" spans="1:6" x14ac:dyDescent="0.35">
      <c r="A15" s="1"/>
    </row>
    <row r="16" spans="1:6" x14ac:dyDescent="0.35">
      <c r="A16" s="13" t="s">
        <v>392</v>
      </c>
    </row>
    <row r="17" spans="1:1" x14ac:dyDescent="0.35">
      <c r="A17" s="1" t="s">
        <v>393</v>
      </c>
    </row>
    <row r="18" spans="1:1" x14ac:dyDescent="0.35">
      <c r="A18" s="1" t="s">
        <v>394</v>
      </c>
    </row>
    <row r="19" spans="1:1" x14ac:dyDescent="0.35">
      <c r="A19" s="1" t="s">
        <v>395</v>
      </c>
    </row>
    <row r="20" spans="1:1" x14ac:dyDescent="0.35">
      <c r="A20" s="1" t="s">
        <v>396</v>
      </c>
    </row>
    <row r="21" spans="1:1" x14ac:dyDescent="0.35">
      <c r="A21" s="1"/>
    </row>
    <row r="22" spans="1:1" x14ac:dyDescent="0.35">
      <c r="A22" s="1" t="s">
        <v>397</v>
      </c>
    </row>
  </sheetData>
  <mergeCells count="2">
    <mergeCell ref="A1:F1"/>
    <mergeCell ref="A3:F3"/>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7B518-8155-4FEA-AEEA-AD611DB72582}">
  <dimension ref="B1:N26"/>
  <sheetViews>
    <sheetView showGridLines="0" tabSelected="1" topLeftCell="B1" zoomScaleNormal="100" workbookViewId="0">
      <selection activeCell="D20" sqref="D20"/>
    </sheetView>
  </sheetViews>
  <sheetFormatPr defaultRowHeight="14.5" x14ac:dyDescent="0.35"/>
  <cols>
    <col min="1" max="1" width="10.08984375" customWidth="1"/>
    <col min="2" max="2" width="26.54296875" customWidth="1"/>
    <col min="3" max="3" width="18.54296875" bestFit="1" customWidth="1"/>
    <col min="4" max="4" width="12.54296875" customWidth="1"/>
    <col min="6" max="6" width="12.54296875" customWidth="1"/>
    <col min="8" max="8" width="18.26953125" bestFit="1" customWidth="1"/>
  </cols>
  <sheetData>
    <row r="1" spans="2:8" ht="26" x14ac:dyDescent="0.6">
      <c r="B1" s="37" t="s">
        <v>442</v>
      </c>
      <c r="C1" s="38"/>
      <c r="D1" s="38"/>
      <c r="E1" s="38"/>
      <c r="F1" s="38"/>
    </row>
    <row r="2" spans="2:8" x14ac:dyDescent="0.35">
      <c r="B2" s="32" t="s">
        <v>420</v>
      </c>
      <c r="C2" s="30"/>
      <c r="D2" s="34" t="s">
        <v>439</v>
      </c>
      <c r="E2" s="30"/>
      <c r="F2" s="32" t="s">
        <v>440</v>
      </c>
      <c r="G2" s="30"/>
      <c r="H2" s="32" t="s">
        <v>441</v>
      </c>
    </row>
    <row r="3" spans="2:8" ht="21" x14ac:dyDescent="0.5">
      <c r="B3" s="33">
        <f>SUM(Table1[SalesAmount])</f>
        <v>18080600</v>
      </c>
      <c r="D3" s="35">
        <f>COUNTA(Table1[OrderID])</f>
        <v>180</v>
      </c>
      <c r="F3" s="36">
        <f>SUM(Sales_Data!H4:H183)</f>
        <v>1319</v>
      </c>
      <c r="H3" s="36">
        <f>AVERAGE(Sales_Data!J4:J183)</f>
        <v>100447.77777777778</v>
      </c>
    </row>
    <row r="6" spans="2:8" hidden="1" x14ac:dyDescent="0.35">
      <c r="B6" s="28" t="s">
        <v>427</v>
      </c>
      <c r="C6" t="s">
        <v>429</v>
      </c>
    </row>
    <row r="7" spans="2:8" hidden="1" x14ac:dyDescent="0.35">
      <c r="B7" s="29" t="s">
        <v>82</v>
      </c>
      <c r="C7" s="15">
        <v>4588900</v>
      </c>
    </row>
    <row r="8" spans="2:8" hidden="1" x14ac:dyDescent="0.35">
      <c r="B8" s="29" t="s">
        <v>71</v>
      </c>
      <c r="C8" s="15">
        <v>6519000</v>
      </c>
    </row>
    <row r="9" spans="2:8" hidden="1" x14ac:dyDescent="0.35">
      <c r="B9" s="29" t="s">
        <v>74</v>
      </c>
      <c r="C9" s="15">
        <v>4212600</v>
      </c>
    </row>
    <row r="10" spans="2:8" hidden="1" x14ac:dyDescent="0.35">
      <c r="B10" s="29" t="s">
        <v>80</v>
      </c>
      <c r="C10" s="15">
        <v>2760100</v>
      </c>
    </row>
    <row r="11" spans="2:8" hidden="1" x14ac:dyDescent="0.35">
      <c r="B11" s="29" t="s">
        <v>428</v>
      </c>
      <c r="C11" s="15">
        <v>18080600</v>
      </c>
    </row>
    <row r="20" spans="2:14" x14ac:dyDescent="0.35">
      <c r="N20" s="31"/>
    </row>
    <row r="25" spans="2:14" x14ac:dyDescent="0.35">
      <c r="B25" t="s">
        <v>116</v>
      </c>
      <c r="C25">
        <f>SUMIF(Table1[Category],B25,Table1[SalesAmount])</f>
        <v>17481500</v>
      </c>
    </row>
    <row r="26" spans="2:14" x14ac:dyDescent="0.35">
      <c r="B26" t="s">
        <v>108</v>
      </c>
      <c r="C26">
        <f>SUMIF(Table1[Category],B26,Table1[SalesAmount])</f>
        <v>599100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Start Here</vt:lpstr>
      <vt:lpstr>Cheat Sheet</vt:lpstr>
      <vt:lpstr>Employee_Master</vt:lpstr>
      <vt:lpstr>Pivot1_Region</vt:lpstr>
      <vt:lpstr>Pivot2_Product</vt:lpstr>
      <vt:lpstr>Pivot3_RegionCategory</vt:lpstr>
      <vt:lpstr>Pivot4_MonthlyTrend</vt:lpstr>
      <vt:lpstr>Pivot5_EmployeePerformance</vt:lpstr>
      <vt:lpstr>Sales_Data</vt:lpstr>
      <vt:lpstr>Day1_Basics</vt:lpstr>
      <vt:lpstr>Day1_Answers</vt:lpstr>
      <vt:lpstr>Day2_Logical_Lookup</vt:lpstr>
      <vt:lpstr>Day2_Answers</vt:lpstr>
      <vt:lpstr>Day3_Text_Date</vt:lpstr>
      <vt:lpstr>Day3_Answers</vt:lpstr>
      <vt:lpstr>Day4_PivotTable</vt:lpstr>
      <vt:lpstr>Day5_Dashboard_Project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Rishabh kumar</cp:lastModifiedBy>
  <cp:revision>0</cp:revision>
  <cp:lastPrinted>2026-07-31T21:18:33Z</cp:lastPrinted>
  <dcterms:created xsi:type="dcterms:W3CDTF">2026-07-31T20:34:56Z</dcterms:created>
  <dcterms:modified xsi:type="dcterms:W3CDTF">2026-08-03T11:46:39Z</dcterms:modified>
  <dc:language>en-US</dc:language>
</cp:coreProperties>
</file>